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 Máx.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Vol. Dir." sheetId="14" r:id="rId17"/>
  </sheets>
  <definedNames/>
  <calcPr/>
  <extLst>
    <ext uri="GoogleSheetsCustomDataVersion2">
      <go:sheetsCustomData xmlns:go="http://customooxmlschemas.google.com/" r:id="rId18" roundtripDataChecksum="MhpXKkxHDf9yMPo/4HRQurhVei+Euo3wlzvYrWawh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ID#AAABp-8r56Q
PRUEBA    (2025-08-19 16:47:21)
INTRODUCIR COND. DE CLIMA</t>
      </text>
    </comment>
    <comment authorId="0" ref="J5">
      <text>
        <t xml:space="preserve">======
ID#AAABp-8r55k
PRUEBA    (2025-08-19 16:47:21)
INTRODUCIR COND. DE SUPERFICIE</t>
      </text>
    </comment>
    <comment authorId="0" ref="E4">
      <text>
        <t xml:space="preserve">======
ID#AAABp-8r55c
PRUEBA    (2025-08-19 16:47:21)
INTRODUCIR SENTIDO</t>
      </text>
    </comment>
  </commentList>
  <extLst>
    <ext uri="GoogleSheetsCustomDataVersion2">
      <go:sheetsCustomData xmlns:go="http://customooxmlschemas.google.com/" r:id="rId1" roundtripDataSignature="AMtx7mjiSLX19q7yKS1yYPUD406ZvdtYJ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ID#AAABp-_NCTk
PRUEBA    (2025-08-19 16:47:21)
INTRODUCIR SENTIDO</t>
      </text>
    </comment>
    <comment authorId="0" ref="E5">
      <text>
        <t xml:space="preserve">======
ID#AAABp-8r56Y
PRUEBA    (2025-08-19 16:47:21)
INTRODUCIR COND. DE CLIMA</t>
      </text>
    </comment>
    <comment authorId="0" ref="J5">
      <text>
        <t xml:space="preserve">======
ID#AAABp-8r56c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huhVGG4C+Hptx2l+kspDMkDd3cK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ID#AAABp-_NCTw
PRUEBA    (2025-08-19 16:47:21)
INTRODUCIR SENTIDO</t>
      </text>
    </comment>
    <comment authorId="0" ref="E5">
      <text>
        <t xml:space="preserve">======
ID#AAABp-8r56A
PRUEBA    (2025-08-19 16:47:21)
INTRODUCIR COND. DE CLIMA</t>
      </text>
    </comment>
    <comment authorId="0" ref="J5">
      <text>
        <t xml:space="preserve">======
ID#AAABp-8r55Q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iD/KHK9DSn5H0zEIr8mePl/6A1w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ID#AAABp-_NCTc
PRUEBA    (2025-08-19 16:47:21)
INTRODUCIR COND. DE CLIMA</t>
      </text>
    </comment>
    <comment authorId="0" ref="E4">
      <text>
        <t xml:space="preserve">======
ID#AAABp-_NCS4
PRUEBA    (2025-08-19 16:47:21)
INTRODUCIR SENTIDO</t>
      </text>
    </comment>
    <comment authorId="0" ref="J5">
      <text>
        <t xml:space="preserve">======
ID#AAABp-8r554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j0TY1giW8gAn2ie1LDTWfDhgNnp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======
ID#AAABp-8r56I
PRUEBA    (2025-08-19 16:47:21)
INTRODUCIR COND. DE SUPERFICIE</t>
      </text>
    </comment>
    <comment authorId="0" ref="E4">
      <text>
        <t xml:space="preserve">======
ID#AAABp-8r550
PRUEBA    (2025-08-19 16:47:21)
INTRODUCIR SENTIDO</t>
      </text>
    </comment>
    <comment authorId="0" ref="E5">
      <text>
        <t xml:space="preserve">======
ID#AAABp-8r55w
PRUEBA    (2025-08-19 16:47:21)
INTRODUCIR COND. DE CLIMA</t>
      </text>
    </comment>
  </commentList>
  <extLst>
    <ext uri="GoogleSheetsCustomDataVersion2">
      <go:sheetsCustomData xmlns:go="http://customooxmlschemas.google.com/" r:id="rId1" roundtripDataSignature="AMtx7mi1T2CTDcUFoKjfls0v1KHRjjGNQ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ID#AAABp-_NCTI
PRUEBA    (2025-08-19 16:47:21)
INTRODUCIR SENTIDO</t>
      </text>
    </comment>
    <comment authorId="0" ref="E5">
      <text>
        <t xml:space="preserve">======
ID#AAABp-_NCTA
PRUEBA    (2025-08-19 16:47:21)
INTRODUCIR COND. DE CLIMA</t>
      </text>
    </comment>
    <comment authorId="0" ref="J5">
      <text>
        <t xml:space="preserve">======
ID#AAABp-p6hkY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im9W4CXw25uIiRubayixjWi+boZ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ID#AAABp-_NCTM
PRUEBA    (2025-08-19 16:47:21)
INTRODUCIR COND. DE CLIMA</t>
      </text>
    </comment>
    <comment authorId="0" ref="E4">
      <text>
        <t xml:space="preserve">======
ID#AAABp-8r56M
PRUEBA    (2025-08-19 16:47:21)
INTRODUCIR SENTIDO</t>
      </text>
    </comment>
    <comment authorId="0" ref="J5">
      <text>
        <t xml:space="preserve">======
ID#AAABp-8r55g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jzTmuf2vOd7RT92y5sDy+TMyeSB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ID#AAABp-8r55o
PRUEBA    (2025-08-19 16:47:21)
INTRODUCIR SENTIDO</t>
      </text>
    </comment>
    <comment authorId="0" ref="E5">
      <text>
        <t xml:space="preserve">======
ID#AAABp-8r55s
PRUEBA    (2025-08-19 16:47:21)
INTRODUCIR COND. DE CLIMA</t>
      </text>
    </comment>
    <comment authorId="0" ref="J5">
      <text>
        <t xml:space="preserve">======
ID#AAABp-8r55Y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hKoN1qFl8nEPcvwMeKxOZrfE4Dz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ID#AAABp-_NCTo
PRUEBA    (2025-08-19 16:47:21)
INTRODUCIR SENTIDO</t>
      </text>
    </comment>
    <comment authorId="0" ref="E5">
      <text>
        <t xml:space="preserve">======
ID#AAABp-_NCTY
PRUEBA    (2025-08-19 16:47:21)
INTRODUCIR COND. DE CLIMA</t>
      </text>
    </comment>
    <comment authorId="0" ref="J5">
      <text>
        <t xml:space="preserve">======
ID#AAABp-_NCTQ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g6gZlPYXQFKT7i8Jxkfxh0P5seB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ID#AAABp-_NCTs
PRUEBA    (2025-08-19 16:47:21)
INTRODUCIR COND. DE CLIMA</t>
      </text>
    </comment>
    <comment authorId="0" ref="E4">
      <text>
        <t xml:space="preserve">======
ID#AAABp-8r56U
PRUEBA    (2025-08-19 16:47:21)
INTRODUCIR SENTIDO</t>
      </text>
    </comment>
    <comment authorId="0" ref="J5">
      <text>
        <t xml:space="preserve">======
ID#AAABp-8r56E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iB3QsrW6iMBCRStHGdPtGCQUWdc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ID#AAABp-_NCTU
PRUEBA    (2025-08-19 16:47:21)
INTRODUCIR COND. DE CLIMA</t>
      </text>
    </comment>
    <comment authorId="0" ref="E4">
      <text>
        <t xml:space="preserve">======
ID#AAABp-_NCTg
PRUEBA    (2025-08-19 16:47:21)
INTRODUCIR SENTIDO</t>
      </text>
    </comment>
    <comment authorId="0" ref="J5">
      <text>
        <t xml:space="preserve">======
ID#AAABp-_NCTE
PRUEBA    (2025-08-19 16:47:21)
INTRODUCIR COND. DE SUPERFICIE</t>
      </text>
    </comment>
  </commentList>
  <extLst>
    <ext uri="GoogleSheetsCustomDataVersion2">
      <go:sheetsCustomData xmlns:go="http://customooxmlschemas.google.com/" r:id="rId1" roundtripDataSignature="AMtx7mhmb0TUtSGCAl0y/SX//ACgxKD3sQ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ID#AAABp-_NCS8
PRUEBA    (2025-08-19 16:47:21)
INTRODUCIR COND. DE CLIMA</t>
      </text>
    </comment>
    <comment authorId="0" ref="J5">
      <text>
        <t xml:space="preserve">======
ID#AAABp-8r558
PRUEBA    (2025-08-19 16:47:21)
INTRODUCIR COND. DE SUPERFICIE</t>
      </text>
    </comment>
    <comment authorId="0" ref="E4">
      <text>
        <t xml:space="preserve">======
ID#AAABp-8r55U
PRUEBA    (2025-08-19 16:47:21)
INTRODUCIR SENTIDO</t>
      </text>
    </comment>
  </commentList>
  <extLst>
    <ext uri="GoogleSheetsCustomDataVersion2">
      <go:sheetsCustomData xmlns:go="http://customooxmlschemas.google.com/" r:id="rId1" roundtripDataSignature="AMtx7mgXs3TJdeSRT1vlAlf5t4+vGO9PpQ=="/>
    </ext>
  </extLst>
</comments>
</file>

<file path=xl/sharedStrings.xml><?xml version="1.0" encoding="utf-8"?>
<sst xmlns="http://schemas.openxmlformats.org/spreadsheetml/2006/main" count="455" uniqueCount="104">
  <si>
    <t>MUNICIPIO:</t>
  </si>
  <si>
    <t>Monterrey, N.L.</t>
  </si>
  <si>
    <t>INTERSECCION:</t>
  </si>
  <si>
    <t>Int. 03 Av. Fernando García Roel - Ahuehuetes - Los Nogales</t>
  </si>
  <si>
    <t>PERIODO:</t>
  </si>
  <si>
    <t>A:</t>
  </si>
  <si>
    <t>HRS</t>
  </si>
  <si>
    <t>INTERVALOS DE:</t>
  </si>
  <si>
    <t>HORAS</t>
  </si>
  <si>
    <t>FECHA:</t>
  </si>
  <si>
    <t>LAPSO</t>
  </si>
  <si>
    <t>TOTAL</t>
  </si>
  <si>
    <t>TOTAL POR HORAS</t>
  </si>
  <si>
    <t>H:MIN</t>
  </si>
  <si>
    <t>HORA MAX:</t>
  </si>
  <si>
    <t>TOTAL DE VEHICULOS:</t>
  </si>
  <si>
    <t>SENTIDO CIRCULACION:</t>
  </si>
  <si>
    <t>mov. 1</t>
  </si>
  <si>
    <t>ESTADO DEL TIEMPO:</t>
  </si>
  <si>
    <t>Soleado</t>
  </si>
  <si>
    <t>PAVIMENTO:</t>
  </si>
  <si>
    <t>Regular y Seco</t>
  </si>
  <si>
    <t>AUTOMOVILES</t>
  </si>
  <si>
    <t>CAMIONETAS</t>
  </si>
  <si>
    <t>BTR</t>
  </si>
  <si>
    <t>B</t>
  </si>
  <si>
    <t>BICICLETAS</t>
  </si>
  <si>
    <t>C-2</t>
  </si>
  <si>
    <t>C-3</t>
  </si>
  <si>
    <t>C-4</t>
  </si>
  <si>
    <t>C-5</t>
  </si>
  <si>
    <t>C-6</t>
  </si>
  <si>
    <t>C-7</t>
  </si>
  <si>
    <t>C-8</t>
  </si>
  <si>
    <t>C-9</t>
  </si>
  <si>
    <t>MOTOS</t>
  </si>
  <si>
    <t>mov. 2</t>
  </si>
  <si>
    <t>mov. 3</t>
  </si>
  <si>
    <t>mov.  4</t>
  </si>
  <si>
    <t>mov. 5</t>
  </si>
  <si>
    <t>mov. 6</t>
  </si>
  <si>
    <t>mov. 7</t>
  </si>
  <si>
    <t>mov. 8</t>
  </si>
  <si>
    <t>mov. 9</t>
  </si>
  <si>
    <t>mov. 10</t>
  </si>
  <si>
    <t>mov. 11</t>
  </si>
  <si>
    <t>mov. 12</t>
  </si>
  <si>
    <t>HORA MAXIMA:</t>
  </si>
  <si>
    <t>MOVIMIENTO</t>
  </si>
  <si>
    <t>VOLUMEN</t>
  </si>
  <si>
    <t>FHMD</t>
  </si>
  <si>
    <t>%HV</t>
  </si>
  <si>
    <t>Nº</t>
  </si>
  <si>
    <t>A</t>
  </si>
  <si>
    <t>%</t>
  </si>
  <si>
    <t>BICI</t>
  </si>
  <si>
    <t>C</t>
  </si>
  <si>
    <t>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</si>
  <si>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</si>
  <si>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</si>
  <si>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</si>
  <si>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</si>
  <si>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</si>
  <si>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</si>
  <si>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</si>
  <si>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</si>
  <si>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</si>
  <si>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</si>
  <si>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</si>
  <si>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</si>
  <si>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</si>
  <si>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</si>
  <si>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</si>
  <si>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</si>
  <si>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</si>
  <si>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</si>
  <si>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</si>
  <si>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</si>
  <si>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</si>
  <si>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</si>
  <si>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</si>
  <si>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</si>
  <si>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</si>
  <si>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</si>
  <si>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</si>
  <si>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TOTALES:</t>
  </si>
  <si>
    <t>SIMBOLOGIA:</t>
  </si>
  <si>
    <t>Autos ligeros (Carros y Camionetas)</t>
  </si>
  <si>
    <t>Bicicleta</t>
  </si>
  <si>
    <t>BUS DE TRANSITO RAPIDO</t>
  </si>
  <si>
    <t>Vehículos de Carga</t>
  </si>
  <si>
    <t>BUS</t>
  </si>
  <si>
    <t>M MOTOCICLETAS</t>
  </si>
  <si>
    <t>MOV</t>
  </si>
  <si>
    <t>ENTRAN</t>
  </si>
  <si>
    <t>1,2,3</t>
  </si>
  <si>
    <t>4,5,6</t>
  </si>
  <si>
    <t>7,8,9</t>
  </si>
  <si>
    <t>10,11,12</t>
  </si>
  <si>
    <t>SALEN</t>
  </si>
  <si>
    <t>1,5,9</t>
  </si>
  <si>
    <t>2,6,10</t>
  </si>
  <si>
    <t>3,7,11</t>
  </si>
  <si>
    <t>4,8,12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</si>
</sst>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10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/>
    <font>
      <sz val="7.0"/>
      <color theme="1"/>
      <name val="Times New Roman"/>
    </font>
    <font>
      <sz val="8.0"/>
      <color theme="1"/>
      <name val="Times New Roman"/>
    </font>
    <font>
      <sz val="14.0"/>
      <color theme="1"/>
      <name val="Times New Roman"/>
    </font>
    <font>
      <b/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33">
    <border/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3" numFmtId="0" xfId="0" applyFont="1"/>
    <xf borderId="2" fillId="2" fontId="1" numFmtId="20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20" xfId="0" applyAlignment="1" applyBorder="1" applyFont="1" applyNumberFormat="1">
      <alignment horizontal="left"/>
    </xf>
    <xf borderId="1" fillId="2" fontId="1" numFmtId="20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3" fillId="0" fontId="3" numFmtId="14" xfId="0" applyAlignment="1" applyBorder="1" applyFont="1" applyNumberFormat="1">
      <alignment horizontal="center"/>
    </xf>
    <xf borderId="1" fillId="2" fontId="1" numFmtId="14" xfId="0" applyAlignment="1" applyBorder="1" applyFont="1" applyNumberFormat="1">
      <alignment horizontal="center"/>
    </xf>
    <xf borderId="0" fillId="0" fontId="1" numFmtId="20" xfId="0" applyFont="1" applyNumberFormat="1"/>
    <xf borderId="4" fillId="0" fontId="1" numFmtId="0" xfId="0" applyAlignment="1" applyBorder="1" applyFont="1">
      <alignment horizontal="center"/>
    </xf>
    <xf borderId="5" fillId="0" fontId="4" numFmtId="0" xfId="0" applyBorder="1" applyFont="1"/>
    <xf borderId="6" fillId="0" fontId="5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9" fillId="0" fontId="1" numFmtId="0" xfId="0" applyAlignment="1" applyBorder="1" applyFont="1">
      <alignment horizontal="center" vertical="center"/>
    </xf>
    <xf borderId="10" fillId="0" fontId="1" numFmtId="0" xfId="0" applyBorder="1" applyFont="1"/>
    <xf borderId="11" fillId="0" fontId="1" numFmtId="0" xfId="0" applyBorder="1" applyFont="1"/>
    <xf borderId="12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1" numFmtId="20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9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20" xfId="0" applyAlignment="1" applyFont="1" applyNumberFormat="1">
      <alignment horizontal="center"/>
    </xf>
    <xf borderId="14" fillId="0" fontId="1" numFmtId="0" xfId="0" applyAlignment="1" applyBorder="1" applyFont="1">
      <alignment horizontal="left"/>
    </xf>
    <xf borderId="14" fillId="0" fontId="1" numFmtId="0" xfId="0" applyBorder="1" applyFont="1"/>
    <xf borderId="15" fillId="0" fontId="1" numFmtId="0" xfId="0" applyBorder="1" applyFont="1"/>
    <xf borderId="3" fillId="0" fontId="1" numFmtId="0" xfId="0" applyAlignment="1" applyBorder="1" applyFont="1">
      <alignment horizontal="right"/>
    </xf>
    <xf borderId="15" fillId="0" fontId="1" numFmtId="15" xfId="0" applyAlignment="1" applyBorder="1" applyFont="1" applyNumberFormat="1">
      <alignment horizontal="center"/>
    </xf>
    <xf borderId="0" fillId="0" fontId="1" numFmtId="15" xfId="0" applyAlignment="1" applyFont="1" applyNumberFormat="1">
      <alignment horizontal="center"/>
    </xf>
    <xf borderId="2" fillId="2" fontId="1" numFmtId="49" xfId="0" applyAlignment="1" applyBorder="1" applyFont="1" applyNumberFormat="1">
      <alignment horizontal="left"/>
    </xf>
    <xf borderId="2" fillId="2" fontId="1" numFmtId="0" xfId="0" applyBorder="1" applyFont="1"/>
    <xf borderId="15" fillId="0" fontId="1" numFmtId="20" xfId="0" applyAlignment="1" applyBorder="1" applyFont="1" applyNumberForma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horizontal="right"/>
    </xf>
    <xf borderId="16" fillId="2" fontId="1" numFmtId="0" xfId="0" applyBorder="1" applyFont="1"/>
    <xf borderId="8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9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/>
    </xf>
    <xf borderId="11" fillId="0" fontId="1" numFmtId="20" xfId="0" applyAlignment="1" applyBorder="1" applyFont="1" applyNumberFormat="1">
      <alignment horizontal="center" vertical="center"/>
    </xf>
    <xf borderId="14" fillId="0" fontId="1" numFmtId="20" xfId="0" applyAlignment="1" applyBorder="1" applyFont="1" applyNumberFormat="1">
      <alignment horizontal="center" vertical="center"/>
    </xf>
    <xf borderId="0" fillId="0" fontId="1" numFmtId="2" xfId="0" applyFont="1" applyNumberFormat="1"/>
    <xf borderId="15" fillId="0" fontId="1" numFmtId="0" xfId="0" applyAlignment="1" applyBorder="1" applyFont="1">
      <alignment horizontal="left"/>
    </xf>
    <xf borderId="15" fillId="0" fontId="4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0" fillId="0" fontId="1" numFmtId="15" xfId="0" applyAlignment="1" applyFont="1" applyNumberFormat="1">
      <alignment horizontal="left"/>
    </xf>
    <xf borderId="3" fillId="0" fontId="1" numFmtId="15" xfId="0" applyAlignment="1" applyBorder="1" applyFont="1" applyNumberFormat="1">
      <alignment horizontal="left"/>
    </xf>
    <xf borderId="8" fillId="0" fontId="1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top"/>
    </xf>
    <xf borderId="18" fillId="0" fontId="1" numFmtId="0" xfId="0" applyBorder="1" applyFont="1"/>
    <xf borderId="19" fillId="0" fontId="8" numFmtId="0" xfId="0" applyAlignment="1" applyBorder="1" applyFont="1">
      <alignment horizontal="center"/>
    </xf>
    <xf borderId="20" fillId="0" fontId="8" numFmtId="0" xfId="0" applyAlignment="1" applyBorder="1" applyFont="1">
      <alignment horizont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3" fillId="0" fontId="4" numFmtId="0" xfId="0" applyBorder="1" applyFont="1"/>
    <xf borderId="25" fillId="0" fontId="1" numFmtId="0" xfId="0" applyBorder="1" applyFont="1"/>
    <xf borderId="26" fillId="0" fontId="4" numFmtId="0" xfId="0" applyBorder="1" applyFont="1"/>
    <xf borderId="27" fillId="0" fontId="4" numFmtId="0" xfId="0" applyBorder="1" applyFont="1"/>
    <xf borderId="11" fillId="0" fontId="1" numFmtId="49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vertical="center"/>
    </xf>
    <xf borderId="28" fillId="0" fontId="1" numFmtId="10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/>
    </xf>
    <xf borderId="12" fillId="0" fontId="1" numFmtId="2" xfId="0" applyAlignment="1" applyBorder="1" applyFont="1" applyNumberFormat="1">
      <alignment horizontal="center"/>
    </xf>
    <xf borderId="30" fillId="0" fontId="1" numFmtId="10" xfId="0" applyBorder="1" applyFont="1" applyNumberFormat="1"/>
    <xf borderId="5" fillId="0" fontId="1" numFmtId="49" xfId="0" applyAlignment="1" applyBorder="1" applyFont="1" applyNumberFormat="1">
      <alignment horizontal="center" vertical="center"/>
    </xf>
    <xf borderId="9" fillId="0" fontId="1" numFmtId="10" xfId="0" applyAlignment="1" applyBorder="1" applyFont="1" applyNumberFormat="1">
      <alignment horizontal="center" vertical="center"/>
    </xf>
    <xf borderId="5" fillId="0" fontId="1" numFmtId="0" xfId="0" applyBorder="1" applyFont="1"/>
    <xf borderId="9" fillId="0" fontId="1" numFmtId="2" xfId="0" applyAlignment="1" applyBorder="1" applyFont="1" applyNumberFormat="1">
      <alignment horizontal="center"/>
    </xf>
    <xf borderId="9" fillId="0" fontId="1" numFmtId="49" xfId="0" applyAlignment="1" applyBorder="1" applyFont="1" applyNumberFormat="1">
      <alignment horizontal="center" vertical="center"/>
    </xf>
    <xf borderId="31" fillId="0" fontId="1" numFmtId="0" xfId="0" applyBorder="1" applyFont="1"/>
    <xf borderId="32" fillId="0" fontId="1" numFmtId="0" xfId="0" applyAlignment="1" applyBorder="1" applyFont="1">
      <alignment horizontal="center" vertical="center"/>
    </xf>
    <xf borderId="32" fillId="0" fontId="1" numFmtId="2" xfId="0" applyAlignment="1" applyBorder="1" applyFont="1" applyNumberFormat="1">
      <alignment horizontal="center"/>
    </xf>
    <xf borderId="9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center"/>
    </xf>
    <xf borderId="9" fillId="0" fontId="1" numFmtId="10" xfId="0" applyAlignment="1" applyBorder="1" applyFont="1" applyNumberFormat="1">
      <alignment horizontal="center"/>
    </xf>
    <xf borderId="0" fillId="0" fontId="8" numFmtId="0" xfId="0" applyFont="1"/>
    <xf borderId="0" fillId="0" fontId="1" numFmtId="10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16" fillId="3" fontId="1" numFmtId="0" xfId="0" applyAlignment="1" applyBorder="1" applyFill="1" applyFont="1">
      <alignment horizontal="center"/>
    </xf>
    <xf borderId="0" fillId="0" fontId="1" numFmtId="49" xfId="0" applyAlignment="1" applyFont="1" applyNumberFormat="1">
      <alignment horizontal="center"/>
    </xf>
    <xf borderId="16" fillId="4" fontId="1" numFmtId="0" xfId="0" applyAlignment="1" applyBorder="1" applyFill="1" applyFont="1">
      <alignment horizontal="center"/>
    </xf>
    <xf borderId="16" fillId="4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26</xdr:row>
      <xdr:rowOff>114300</xdr:rowOff>
    </xdr:from>
    <xdr:ext cx="4105275" cy="866775"/>
    <xdr:sp>
      <xdr:nvSpPr>
        <xdr:cNvPr id="3" name="Shape 3"/>
        <xdr:cNvSpPr/>
      </xdr:nvSpPr>
      <xdr:spPr>
        <a:xfrm>
          <a:off x="3302888" y="3356138"/>
          <a:ext cx="4086225" cy="847725"/>
        </a:xfrm>
        <a:prstGeom prst="roundRect">
          <a:avLst>
            <a:gd fmla="val 20968" name="adj"/>
          </a:avLst>
        </a:prstGeom>
        <a:noFill/>
        <a:ln cap="flat" cmpd="sng" w="158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981075</xdr:colOff>
      <xdr:row>28</xdr:row>
      <xdr:rowOff>0</xdr:rowOff>
    </xdr:from>
    <xdr:ext cx="409575" cy="142875"/>
    <xdr:sp>
      <xdr:nvSpPr>
        <xdr:cNvPr id="4" name="Shape 4"/>
        <xdr:cNvSpPr txBox="1"/>
      </xdr:nvSpPr>
      <xdr:spPr>
        <a:xfrm>
          <a:off x="5145975" y="3713325"/>
          <a:ext cx="400050" cy="1333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4.43" defaultRowHeight="15.0"/>
  <cols>
    <col customWidth="1" min="1" max="2" width="11.14"/>
    <col customWidth="1" min="3" max="4" width="12.86"/>
    <col customWidth="1" min="5" max="5" width="15.86"/>
    <col customWidth="1" min="6" max="6" width="12.86"/>
    <col customWidth="1" min="7" max="7" width="16.0"/>
    <col customWidth="1" min="8" max="8" width="18.86"/>
    <col customWidth="1" min="9" max="9" width="22.86"/>
    <col customWidth="1" min="10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3" t="s">
        <v>1</v>
      </c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5" t="s">
        <v>3</v>
      </c>
      <c r="F3" s="6"/>
      <c r="G3" s="6"/>
      <c r="H3" s="6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8" t="s">
        <v>4</v>
      </c>
      <c r="D4" s="1"/>
      <c r="E4" s="9">
        <v>0.2916666666666667</v>
      </c>
      <c r="F4" s="10" t="s">
        <v>5</v>
      </c>
      <c r="G4" s="9">
        <v>0.4166666666666667</v>
      </c>
      <c r="H4" s="11" t="s">
        <v>6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8" t="s">
        <v>7</v>
      </c>
      <c r="D5" s="1"/>
      <c r="E5" s="12">
        <v>0.010416666666666666</v>
      </c>
      <c r="F5" s="13" t="s">
        <v>8</v>
      </c>
      <c r="G5" s="14" t="s">
        <v>9</v>
      </c>
      <c r="H5" s="15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0.25" customHeight="1">
      <c r="A7" s="1"/>
      <c r="B7" s="1"/>
      <c r="C7" s="1"/>
      <c r="D7" s="1"/>
      <c r="E7" s="1"/>
      <c r="F7" s="1"/>
      <c r="G7" s="1"/>
      <c r="H7" s="1"/>
      <c r="I7" s="1"/>
      <c r="J7" s="16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19"/>
      <c r="D8" s="20"/>
      <c r="E8" s="21" t="s">
        <v>11</v>
      </c>
      <c r="F8" s="22"/>
      <c r="G8" s="20"/>
      <c r="H8" s="23" t="s">
        <v>12</v>
      </c>
      <c r="I8" s="24"/>
      <c r="J8" s="16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6"/>
      <c r="D9" s="27"/>
      <c r="E9" s="28"/>
      <c r="F9" s="26"/>
      <c r="G9" s="27"/>
      <c r="H9" s="29"/>
      <c r="I9" s="30"/>
      <c r="J9" s="16"/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1">
        <f>E4</f>
        <v>0.2916666667</v>
      </c>
      <c r="B10" s="31">
        <f>A10+$E$5</f>
        <v>0.3020833333</v>
      </c>
      <c r="C10" s="32"/>
      <c r="D10" s="33"/>
      <c r="E10" s="34" t="str">
        <f t="shared" ref="E10:E13" si="1">SUM('1:12'!Q10)</f>
        <v>#REF!</v>
      </c>
      <c r="F10" s="32"/>
      <c r="G10" s="33"/>
      <c r="H10" s="21"/>
      <c r="I10" s="34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31">
        <f t="shared" ref="A11:A13" si="2">IF(B10&gt;=$G$4,"",B10)</f>
        <v>0.3020833333</v>
      </c>
      <c r="B11" s="31">
        <f t="shared" ref="B11:B13" si="3">IF(A11="","",A11+$E$5)</f>
        <v>0.3125</v>
      </c>
      <c r="C11" s="32"/>
      <c r="D11" s="33"/>
      <c r="E11" s="34" t="str">
        <f t="shared" si="1"/>
        <v>#REF!</v>
      </c>
      <c r="F11" s="32"/>
      <c r="G11" s="33"/>
      <c r="H11" s="35"/>
      <c r="I11" s="34"/>
      <c r="J11" s="16"/>
      <c r="K11" s="1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31">
        <f t="shared" si="2"/>
        <v>0.3125</v>
      </c>
      <c r="B12" s="31">
        <f t="shared" si="3"/>
        <v>0.3229166667</v>
      </c>
      <c r="C12" s="32"/>
      <c r="D12" s="33"/>
      <c r="E12" s="34" t="str">
        <f t="shared" si="1"/>
        <v>#REF!</v>
      </c>
      <c r="F12" s="32"/>
      <c r="G12" s="33"/>
      <c r="H12" s="35"/>
      <c r="I12" s="34"/>
      <c r="J12" s="16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31">
        <f t="shared" si="2"/>
        <v>0.3229166667</v>
      </c>
      <c r="B13" s="31">
        <f t="shared" si="3"/>
        <v>0.3333333333</v>
      </c>
      <c r="C13" s="32"/>
      <c r="D13" s="33"/>
      <c r="E13" s="34" t="str">
        <f t="shared" si="1"/>
        <v>#REF!</v>
      </c>
      <c r="F13" s="32"/>
      <c r="G13" s="36"/>
      <c r="H13" s="34"/>
      <c r="I13" s="33" t="str">
        <f>SUM(E10:E13)</f>
        <v>#REF!</v>
      </c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IF(B13&gt;=$G$4,"",B13)</f>
        <v>0.3333333333</v>
      </c>
      <c r="B15" s="37">
        <f t="shared" ref="B15:B18" si="4">IF(A15="","",A15+$E$5)</f>
        <v>0.34375</v>
      </c>
      <c r="C15" s="38"/>
      <c r="D15" s="39"/>
      <c r="E15" s="25" t="str">
        <f t="shared" ref="E15:E18" si="5">SUM('1:12'!Q15)</f>
        <v>#REF!</v>
      </c>
      <c r="F15" s="38"/>
      <c r="G15" s="39"/>
      <c r="H15" s="21"/>
      <c r="I15" s="25" t="str">
        <f>SUM(E11:E13,E15)</f>
        <v>#REF!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31">
        <f t="shared" ref="A16:A18" si="6">IF(B15&gt;=$G$4,"",B15)</f>
        <v>0.34375</v>
      </c>
      <c r="B16" s="31">
        <f t="shared" si="4"/>
        <v>0.3541666667</v>
      </c>
      <c r="C16" s="32"/>
      <c r="D16" s="33"/>
      <c r="E16" s="25" t="str">
        <f t="shared" si="5"/>
        <v>#REF!</v>
      </c>
      <c r="F16" s="32"/>
      <c r="G16" s="33"/>
      <c r="H16" s="35"/>
      <c r="I16" s="34" t="str">
        <f>SUM(E12:E13,E15:E16)</f>
        <v>#REF!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31">
        <f t="shared" si="6"/>
        <v>0.3541666667</v>
      </c>
      <c r="B17" s="31">
        <f t="shared" si="4"/>
        <v>0.3645833333</v>
      </c>
      <c r="C17" s="32"/>
      <c r="D17" s="33"/>
      <c r="E17" s="25" t="str">
        <f t="shared" si="5"/>
        <v>#REF!</v>
      </c>
      <c r="F17" s="32"/>
      <c r="G17" s="33"/>
      <c r="H17" s="35"/>
      <c r="I17" s="34" t="str">
        <f>SUM(E13,E15:E17)</f>
        <v>#REF!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31">
        <f t="shared" si="6"/>
        <v>0.3645833333</v>
      </c>
      <c r="B18" s="31">
        <f t="shared" si="4"/>
        <v>0.375</v>
      </c>
      <c r="C18" s="32"/>
      <c r="D18" s="33"/>
      <c r="E18" s="25" t="str">
        <f t="shared" si="5"/>
        <v>#REF!</v>
      </c>
      <c r="F18" s="32"/>
      <c r="G18" s="33"/>
      <c r="H18" s="34"/>
      <c r="I18" s="34" t="str">
        <f>SUM(E15:E18)</f>
        <v>#REF!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IF(B18&gt;=$G$4,"",B18)</f>
        <v>0.375</v>
      </c>
      <c r="B20" s="37">
        <f t="shared" ref="B20:B23" si="7">IF(A20="","",A20+$E$5)</f>
        <v>0.3854166667</v>
      </c>
      <c r="C20" s="38"/>
      <c r="D20" s="39"/>
      <c r="E20" s="25" t="str">
        <f t="shared" ref="E20:E23" si="8">SUM('1:12'!Q20)</f>
        <v>#REF!</v>
      </c>
      <c r="F20" s="38"/>
      <c r="G20" s="40"/>
      <c r="H20" s="21"/>
      <c r="I20" s="39" t="str">
        <f>SUM(E16:E18,E20)</f>
        <v>#REF!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 t="shared" ref="A21:A23" si="9">IF(B20&gt;=$G$4,"",B20)</f>
        <v>0.3854166667</v>
      </c>
      <c r="B21" s="37">
        <f t="shared" si="7"/>
        <v>0.3958333333</v>
      </c>
      <c r="C21" s="32"/>
      <c r="D21" s="33"/>
      <c r="E21" s="25" t="str">
        <f t="shared" si="8"/>
        <v>#REF!</v>
      </c>
      <c r="F21" s="32"/>
      <c r="G21" s="36"/>
      <c r="H21" s="35"/>
      <c r="I21" s="33" t="str">
        <f>SUM(E17:E18,E20:E21)</f>
        <v>#REF!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 t="shared" si="9"/>
        <v>0.3958333333</v>
      </c>
      <c r="B22" s="37">
        <f t="shared" si="7"/>
        <v>0.40625</v>
      </c>
      <c r="C22" s="32"/>
      <c r="D22" s="33"/>
      <c r="E22" s="25" t="str">
        <f t="shared" si="8"/>
        <v>#REF!</v>
      </c>
      <c r="F22" s="32"/>
      <c r="G22" s="36"/>
      <c r="H22" s="35"/>
      <c r="I22" s="33" t="str">
        <f>SUM(E18,E20:E22)</f>
        <v>#REF!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 t="shared" si="9"/>
        <v>0.40625</v>
      </c>
      <c r="B23" s="37">
        <f t="shared" si="7"/>
        <v>0.4166666667</v>
      </c>
      <c r="C23" s="32"/>
      <c r="D23" s="33"/>
      <c r="E23" s="25" t="str">
        <f t="shared" si="8"/>
        <v>#REF!</v>
      </c>
      <c r="F23" s="32"/>
      <c r="G23" s="36"/>
      <c r="H23" s="34"/>
      <c r="I23" s="33" t="str">
        <f>SUM(E20:E23)</f>
        <v>#REF!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4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 t="s">
        <v>14</v>
      </c>
      <c r="H29" s="42" t="str">
        <f>IF($I$31=I13,A10,IF($I$31=I15,A11,IF($I$31=I16,A12,IF($I$31=I17,A13,IF($I$31=I18,A15,IF($I$31=I20,A16,IF($I$31=I21,A17,IF($I$31=I22,A18,A20))))))))</f>
        <v>#REF!</v>
      </c>
      <c r="I29" s="42" t="str">
        <f>IF($I$31=I13,B13,IF($I$31=I15,B15,IF($I$31=I16,B16,IF($I$31=I17,B17,IF($I$31=I18,B18,IF($I$31=I20,B20,IF($I$31=I21,B21,IF($I$31=I22,B22,B23))))))))</f>
        <v>#REF!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 t="s">
        <v>15</v>
      </c>
      <c r="H31" s="1"/>
      <c r="I31" s="41" t="str">
        <f>MAX(I10:I13,I15:I18,I20:I23)</f>
        <v>#REF!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8:B8"/>
    <mergeCell ref="E8:E9"/>
    <mergeCell ref="H8:I9"/>
    <mergeCell ref="C26:D26"/>
  </mergeCells>
  <printOptions horizontalCentered="1"/>
  <pageMargins bottom="1.0" footer="0.0" header="0.0" left="0.1968503937007874" right="0.1968503937007874" top="1.1023622047244095"/>
  <pageSetup orientation="portrait"/>
  <headerFooter>
    <oddHeader>&amp;CHORA DE MAXIMA DEMANDA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3" width="12.29"/>
    <col customWidth="1" min="4" max="4" width="13.29"/>
    <col customWidth="1" min="5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9.86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17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11.0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39">
        <f t="shared" ref="Q10:Q13" si="1">SUM(C10:P10)</f>
        <v>11</v>
      </c>
      <c r="R10" s="41" t="str">
        <f>IF(A10='Hora Máx.'!$H$29,(Q10+Q11+Q12+Q13)/(MAX(Q10:Q13)*4),"")</f>
        <v>#REF!</v>
      </c>
      <c r="S10" s="42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10.0</v>
      </c>
      <c r="D11" s="59"/>
      <c r="E11" s="59"/>
      <c r="F11" s="59"/>
      <c r="G11" s="59"/>
      <c r="H11" s="59"/>
      <c r="I11" s="58"/>
      <c r="J11" s="58"/>
      <c r="K11" s="58"/>
      <c r="L11" s="58"/>
      <c r="M11" s="58"/>
      <c r="N11" s="58"/>
      <c r="O11" s="58"/>
      <c r="P11" s="58"/>
      <c r="Q11" s="39">
        <f t="shared" si="1"/>
        <v>10</v>
      </c>
      <c r="R11" s="41" t="str">
        <f>IF(A11='Hora Máx.'!$H$29,(Q11+Q12+Q13+Q15)/(MAX(Q11:Q13,Q15)*4),"")</f>
        <v>#REF!</v>
      </c>
      <c r="S11" s="42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8.0</v>
      </c>
      <c r="D12" s="59"/>
      <c r="E12" s="59"/>
      <c r="F12" s="59"/>
      <c r="G12" s="59"/>
      <c r="H12" s="59"/>
      <c r="I12" s="58"/>
      <c r="J12" s="58"/>
      <c r="K12" s="58"/>
      <c r="L12" s="58"/>
      <c r="M12" s="58"/>
      <c r="N12" s="58"/>
      <c r="O12" s="58"/>
      <c r="P12" s="58"/>
      <c r="Q12" s="39">
        <f t="shared" si="1"/>
        <v>8</v>
      </c>
      <c r="R12" s="41" t="str">
        <f>IF(A12='Hora Máx.'!$H$29,(Q12+Q13+Q15+Q16)/(MAX(Q12,Q13,Q15,Q16)*4),"")</f>
        <v>#REF!</v>
      </c>
      <c r="S12" s="42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12.0</v>
      </c>
      <c r="D13" s="59"/>
      <c r="E13" s="59"/>
      <c r="F13" s="59"/>
      <c r="G13" s="59"/>
      <c r="H13" s="59"/>
      <c r="I13" s="58"/>
      <c r="J13" s="58"/>
      <c r="K13" s="58"/>
      <c r="L13" s="58"/>
      <c r="M13" s="58"/>
      <c r="N13" s="58"/>
      <c r="O13" s="58"/>
      <c r="P13" s="58"/>
      <c r="Q13" s="39">
        <f t="shared" si="1"/>
        <v>12</v>
      </c>
      <c r="R13" s="60" t="str">
        <f>IF(A13='Hora Máx.'!$H$29,(Q13+Q15+Q16+Q17)/(MAX(Q13,Q15:Q17)*4),"")</f>
        <v>#REF!</v>
      </c>
      <c r="S13" s="42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1"/>
      <c r="S14" s="4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5.0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39">
        <f t="shared" ref="Q15:Q18" si="2">SUM(C15:P15)</f>
        <v>5</v>
      </c>
      <c r="R15" s="41" t="str">
        <f>IF(A15='Hora Máx.'!$H$29,(Q15+Q16+Q17+Q18)/(MAX(Q15:Q18)*4),"")</f>
        <v>#REF!</v>
      </c>
      <c r="S15" s="42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7.0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39">
        <f t="shared" si="2"/>
        <v>7</v>
      </c>
      <c r="R16" s="60" t="str">
        <f>IF(A16='Hora Máx.'!$H$29,(Q16+Q17+Q18+Q20)/(MAX(Q16:Q18,Q20)*4),"")</f>
        <v>#REF!</v>
      </c>
      <c r="S16" s="42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4.0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39">
        <f t="shared" si="2"/>
        <v>4</v>
      </c>
      <c r="R17" s="41" t="str">
        <f>IF(A17='Hora Máx.'!$H$29,(Q17+Q18+Q20+Q21)/(MAX(Q17,Q18,Q20,Q21)*4),"")</f>
        <v>#REF!</v>
      </c>
      <c r="S17" s="42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37">
        <f>'Hora Máx.'!B18</f>
        <v>0.375</v>
      </c>
      <c r="C18" s="58">
        <v>5.0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25">
        <f t="shared" si="2"/>
        <v>5</v>
      </c>
      <c r="R18" s="41" t="str">
        <f>IF(A18='Hora Máx.'!$H$29,(Q18+Q20+Q21+Q22)/(MAX(Q18,Q20:Q22)*4),"")</f>
        <v>#REF!</v>
      </c>
      <c r="S18" s="42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1"/>
      <c r="S19" s="4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3.0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3</v>
      </c>
      <c r="R20" s="41" t="str">
        <f>IF(A20='Hora Máx.'!$H$29,(Q20+Q21+Q22+Q23)/(MAX(Q20:Q23)*4),"")</f>
        <v>#REF!</v>
      </c>
      <c r="S20" s="42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7.0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7</v>
      </c>
      <c r="R21" s="1"/>
      <c r="S21" s="16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7.0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7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4.0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4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3" width="12.29"/>
    <col customWidth="1" min="4" max="4" width="13.14"/>
    <col customWidth="1" min="5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36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39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61">
        <f>'Hora Máx.'!A10</f>
        <v>0.2916666667</v>
      </c>
      <c r="B10" s="62">
        <f>'Hora Máx.'!B10</f>
        <v>0.3020833333</v>
      </c>
      <c r="C10" s="58">
        <v>4.0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4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11.0</v>
      </c>
      <c r="D11" s="59"/>
      <c r="E11" s="59"/>
      <c r="F11" s="59"/>
      <c r="G11" s="59"/>
      <c r="H11" s="59"/>
      <c r="I11" s="58"/>
      <c r="J11" s="58"/>
      <c r="K11" s="58"/>
      <c r="L11" s="58"/>
      <c r="M11" s="58"/>
      <c r="N11" s="58"/>
      <c r="O11" s="58"/>
      <c r="P11" s="58"/>
      <c r="Q11" s="25">
        <f t="shared" si="1"/>
        <v>11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13.0</v>
      </c>
      <c r="D12" s="59"/>
      <c r="E12" s="59"/>
      <c r="F12" s="59"/>
      <c r="G12" s="59"/>
      <c r="H12" s="59"/>
      <c r="I12" s="58"/>
      <c r="J12" s="58"/>
      <c r="K12" s="58"/>
      <c r="L12" s="58"/>
      <c r="M12" s="58"/>
      <c r="N12" s="58"/>
      <c r="O12" s="58"/>
      <c r="P12" s="58"/>
      <c r="Q12" s="25">
        <f t="shared" si="1"/>
        <v>13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9.0</v>
      </c>
      <c r="D13" s="59"/>
      <c r="E13" s="59"/>
      <c r="F13" s="59"/>
      <c r="G13" s="59"/>
      <c r="H13" s="59"/>
      <c r="I13" s="58"/>
      <c r="J13" s="58"/>
      <c r="K13" s="58"/>
      <c r="L13" s="58"/>
      <c r="M13" s="58"/>
      <c r="N13" s="58"/>
      <c r="O13" s="58"/>
      <c r="P13" s="58"/>
      <c r="Q13" s="25">
        <f t="shared" si="1"/>
        <v>9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5.0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5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3.0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3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17.0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17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23.0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23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13.0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13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12.0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12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9.0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9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5.0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5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37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217.0</v>
      </c>
      <c r="D10" s="58"/>
      <c r="E10" s="58"/>
      <c r="F10" s="58">
        <v>4.0</v>
      </c>
      <c r="G10" s="58">
        <v>1.0</v>
      </c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222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147.0</v>
      </c>
      <c r="D11" s="59"/>
      <c r="E11" s="59"/>
      <c r="F11" s="59">
        <v>3.0</v>
      </c>
      <c r="G11" s="59"/>
      <c r="H11" s="59"/>
      <c r="I11" s="59"/>
      <c r="J11" s="58"/>
      <c r="K11" s="58"/>
      <c r="L11" s="58"/>
      <c r="M11" s="58"/>
      <c r="N11" s="58"/>
      <c r="O11" s="58"/>
      <c r="P11" s="58"/>
      <c r="Q11" s="25">
        <f t="shared" si="1"/>
        <v>150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111.0</v>
      </c>
      <c r="D12" s="59"/>
      <c r="E12" s="59"/>
      <c r="F12" s="59">
        <v>5.0</v>
      </c>
      <c r="G12" s="59"/>
      <c r="H12" s="59">
        <v>1.0</v>
      </c>
      <c r="I12" s="59"/>
      <c r="J12" s="58"/>
      <c r="K12" s="58"/>
      <c r="L12" s="58"/>
      <c r="M12" s="58"/>
      <c r="N12" s="58"/>
      <c r="O12" s="58"/>
      <c r="P12" s="58"/>
      <c r="Q12" s="25">
        <f t="shared" si="1"/>
        <v>117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203.0</v>
      </c>
      <c r="D13" s="59"/>
      <c r="E13" s="59"/>
      <c r="F13" s="59">
        <v>10.0</v>
      </c>
      <c r="G13" s="59">
        <v>1.0</v>
      </c>
      <c r="H13" s="59"/>
      <c r="I13" s="59"/>
      <c r="J13" s="58"/>
      <c r="K13" s="58"/>
      <c r="L13" s="58"/>
      <c r="M13" s="58"/>
      <c r="N13" s="58"/>
      <c r="O13" s="58"/>
      <c r="P13" s="58"/>
      <c r="Q13" s="25">
        <f t="shared" si="1"/>
        <v>214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227.0</v>
      </c>
      <c r="D15" s="58"/>
      <c r="E15" s="58"/>
      <c r="F15" s="58">
        <v>7.0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234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315.0</v>
      </c>
      <c r="D16" s="59"/>
      <c r="E16" s="59"/>
      <c r="F16" s="59">
        <v>5.0</v>
      </c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320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275.0</v>
      </c>
      <c r="D17" s="59"/>
      <c r="E17" s="59"/>
      <c r="F17" s="59">
        <v>2.0</v>
      </c>
      <c r="G17" s="59">
        <v>3.0</v>
      </c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280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189.0</v>
      </c>
      <c r="D18" s="59"/>
      <c r="E18" s="59"/>
      <c r="F18" s="59">
        <v>4.0</v>
      </c>
      <c r="G18" s="59"/>
      <c r="H18" s="59">
        <v>1.0</v>
      </c>
      <c r="I18" s="58"/>
      <c r="J18" s="58"/>
      <c r="K18" s="58"/>
      <c r="L18" s="58"/>
      <c r="M18" s="58"/>
      <c r="N18" s="58"/>
      <c r="O18" s="58"/>
      <c r="P18" s="58"/>
      <c r="Q18" s="25">
        <f t="shared" si="2"/>
        <v>194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143.0</v>
      </c>
      <c r="D20" s="58"/>
      <c r="E20" s="58"/>
      <c r="F20" s="58">
        <v>5.0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148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119.0</v>
      </c>
      <c r="D21" s="58"/>
      <c r="E21" s="58"/>
      <c r="F21" s="58">
        <v>3.0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122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99.0</v>
      </c>
      <c r="D22" s="58"/>
      <c r="E22" s="58"/>
      <c r="F22" s="58">
        <v>4.0</v>
      </c>
      <c r="G22" s="58">
        <v>1.0</v>
      </c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104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110.0</v>
      </c>
      <c r="D23" s="58"/>
      <c r="E23" s="58"/>
      <c r="F23" s="58">
        <v>3.0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113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38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137.0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137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152.0</v>
      </c>
      <c r="D11" s="59"/>
      <c r="E11" s="59"/>
      <c r="F11" s="59"/>
      <c r="G11" s="59"/>
      <c r="H11" s="59"/>
      <c r="I11" s="59"/>
      <c r="J11" s="59"/>
      <c r="K11" s="59"/>
      <c r="L11" s="59"/>
      <c r="M11" s="58"/>
      <c r="N11" s="58"/>
      <c r="O11" s="58"/>
      <c r="P11" s="58"/>
      <c r="Q11" s="25">
        <f t="shared" si="1"/>
        <v>152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186.0</v>
      </c>
      <c r="D12" s="59"/>
      <c r="E12" s="59"/>
      <c r="F12" s="59"/>
      <c r="G12" s="59"/>
      <c r="H12" s="59"/>
      <c r="I12" s="59"/>
      <c r="J12" s="59"/>
      <c r="K12" s="59"/>
      <c r="L12" s="59"/>
      <c r="M12" s="58"/>
      <c r="N12" s="58"/>
      <c r="O12" s="58"/>
      <c r="P12" s="58"/>
      <c r="Q12" s="25">
        <f t="shared" si="1"/>
        <v>186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189.0</v>
      </c>
      <c r="D13" s="59"/>
      <c r="E13" s="59"/>
      <c r="F13" s="59"/>
      <c r="G13" s="59"/>
      <c r="H13" s="59">
        <v>1.0</v>
      </c>
      <c r="I13" s="59"/>
      <c r="J13" s="59"/>
      <c r="K13" s="59"/>
      <c r="L13" s="59"/>
      <c r="M13" s="58"/>
      <c r="N13" s="58"/>
      <c r="O13" s="58"/>
      <c r="P13" s="58"/>
      <c r="Q13" s="25">
        <f t="shared" si="1"/>
        <v>190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183.0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183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164.0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164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148.0</v>
      </c>
      <c r="D17" s="59"/>
      <c r="E17" s="59"/>
      <c r="F17" s="59"/>
      <c r="G17" s="59"/>
      <c r="H17" s="59">
        <v>3.0</v>
      </c>
      <c r="I17" s="58"/>
      <c r="J17" s="58"/>
      <c r="K17" s="58"/>
      <c r="L17" s="58"/>
      <c r="M17" s="58"/>
      <c r="N17" s="58"/>
      <c r="O17" s="58"/>
      <c r="P17" s="58"/>
      <c r="Q17" s="25">
        <f t="shared" si="2"/>
        <v>151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132.0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132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144.0</v>
      </c>
      <c r="D20" s="58"/>
      <c r="E20" s="58"/>
      <c r="F20" s="58"/>
      <c r="G20" s="58"/>
      <c r="H20" s="58">
        <v>2.0</v>
      </c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146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9">
        <v>110.0</v>
      </c>
      <c r="D21" s="59"/>
      <c r="E21" s="59"/>
      <c r="F21" s="59"/>
      <c r="G21" s="59"/>
      <c r="H21" s="59"/>
      <c r="I21" s="59"/>
      <c r="J21" s="58"/>
      <c r="K21" s="58"/>
      <c r="L21" s="58"/>
      <c r="M21" s="58"/>
      <c r="N21" s="58"/>
      <c r="O21" s="58"/>
      <c r="P21" s="58"/>
      <c r="Q21" s="25">
        <f t="shared" si="3"/>
        <v>110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9">
        <v>104.0</v>
      </c>
      <c r="D22" s="59"/>
      <c r="E22" s="59"/>
      <c r="F22" s="59"/>
      <c r="G22" s="59"/>
      <c r="H22" s="59"/>
      <c r="I22" s="59"/>
      <c r="J22" s="58"/>
      <c r="K22" s="58"/>
      <c r="L22" s="58"/>
      <c r="M22" s="58"/>
      <c r="N22" s="58"/>
      <c r="O22" s="58"/>
      <c r="P22" s="58"/>
      <c r="Q22" s="25">
        <f t="shared" si="3"/>
        <v>104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9">
        <v>98.0</v>
      </c>
      <c r="D23" s="59"/>
      <c r="E23" s="59"/>
      <c r="F23" s="59"/>
      <c r="G23" s="59"/>
      <c r="H23" s="59"/>
      <c r="I23" s="59"/>
      <c r="J23" s="58"/>
      <c r="K23" s="58"/>
      <c r="L23" s="58"/>
      <c r="M23" s="58"/>
      <c r="N23" s="58"/>
      <c r="O23" s="58"/>
      <c r="P23" s="58"/>
      <c r="Q23" s="25">
        <f t="shared" si="3"/>
        <v>98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39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20.0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20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27.0</v>
      </c>
      <c r="D11" s="59"/>
      <c r="E11" s="59"/>
      <c r="F11" s="59"/>
      <c r="G11" s="59">
        <v>1.0</v>
      </c>
      <c r="H11" s="59"/>
      <c r="I11" s="59"/>
      <c r="J11" s="59"/>
      <c r="K11" s="59"/>
      <c r="L11" s="59"/>
      <c r="M11" s="58"/>
      <c r="N11" s="58"/>
      <c r="O11" s="58"/>
      <c r="P11" s="58"/>
      <c r="Q11" s="25">
        <f t="shared" si="1"/>
        <v>28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29.0</v>
      </c>
      <c r="D12" s="59"/>
      <c r="E12" s="59"/>
      <c r="F12" s="59"/>
      <c r="G12" s="59"/>
      <c r="H12" s="59"/>
      <c r="I12" s="59"/>
      <c r="J12" s="59"/>
      <c r="K12" s="59"/>
      <c r="L12" s="59"/>
      <c r="M12" s="58"/>
      <c r="N12" s="58"/>
      <c r="O12" s="58"/>
      <c r="P12" s="58"/>
      <c r="Q12" s="25">
        <f t="shared" si="1"/>
        <v>29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17.0</v>
      </c>
      <c r="D13" s="59"/>
      <c r="E13" s="59"/>
      <c r="F13" s="59"/>
      <c r="G13" s="59"/>
      <c r="H13" s="59"/>
      <c r="I13" s="59"/>
      <c r="J13" s="59"/>
      <c r="K13" s="59"/>
      <c r="L13" s="59"/>
      <c r="M13" s="58"/>
      <c r="N13" s="58"/>
      <c r="O13" s="58"/>
      <c r="P13" s="58"/>
      <c r="Q13" s="25">
        <f t="shared" si="1"/>
        <v>17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13.0</v>
      </c>
      <c r="D15" s="58"/>
      <c r="E15" s="58"/>
      <c r="F15" s="58"/>
      <c r="G15" s="58">
        <v>2.0</v>
      </c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15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16.0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16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11.0</v>
      </c>
      <c r="D17" s="59"/>
      <c r="E17" s="59"/>
      <c r="F17" s="59"/>
      <c r="G17" s="59">
        <v>1.0</v>
      </c>
      <c r="H17" s="59">
        <v>1.0</v>
      </c>
      <c r="I17" s="58"/>
      <c r="J17" s="58"/>
      <c r="K17" s="58"/>
      <c r="L17" s="58"/>
      <c r="M17" s="58"/>
      <c r="N17" s="58"/>
      <c r="O17" s="58"/>
      <c r="P17" s="58"/>
      <c r="Q17" s="25">
        <f t="shared" si="2"/>
        <v>13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10.0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10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12.0</v>
      </c>
      <c r="D20" s="58"/>
      <c r="E20" s="58"/>
      <c r="F20" s="58"/>
      <c r="G20" s="58"/>
      <c r="H20" s="58">
        <v>1.0</v>
      </c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13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3.0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3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5.0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5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7.0</v>
      </c>
      <c r="D23" s="58"/>
      <c r="E23" s="58"/>
      <c r="F23" s="58"/>
      <c r="G23" s="58"/>
      <c r="H23" s="58">
        <v>1.0</v>
      </c>
      <c r="I23" s="58"/>
      <c r="J23" s="58"/>
      <c r="K23" s="58"/>
      <c r="L23" s="58"/>
      <c r="M23" s="58"/>
      <c r="N23" s="58"/>
      <c r="O23" s="58"/>
      <c r="P23" s="58"/>
      <c r="Q23" s="25">
        <f t="shared" si="3"/>
        <v>8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40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12.0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12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13.0</v>
      </c>
      <c r="D11" s="59"/>
      <c r="E11" s="59"/>
      <c r="F11" s="59"/>
      <c r="G11" s="59"/>
      <c r="H11" s="59"/>
      <c r="I11" s="59"/>
      <c r="J11" s="59"/>
      <c r="K11" s="59"/>
      <c r="L11" s="59"/>
      <c r="M11" s="58"/>
      <c r="N11" s="58"/>
      <c r="O11" s="58"/>
      <c r="P11" s="58"/>
      <c r="Q11" s="25">
        <f t="shared" si="1"/>
        <v>13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26.0</v>
      </c>
      <c r="D12" s="59"/>
      <c r="E12" s="59"/>
      <c r="F12" s="59"/>
      <c r="G12" s="59"/>
      <c r="H12" s="59"/>
      <c r="I12" s="59"/>
      <c r="J12" s="59"/>
      <c r="K12" s="59"/>
      <c r="L12" s="59"/>
      <c r="M12" s="58"/>
      <c r="N12" s="58"/>
      <c r="O12" s="58"/>
      <c r="P12" s="58"/>
      <c r="Q12" s="25">
        <f t="shared" si="1"/>
        <v>26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24.0</v>
      </c>
      <c r="D13" s="59"/>
      <c r="E13" s="59"/>
      <c r="F13" s="59"/>
      <c r="G13" s="59"/>
      <c r="H13" s="59">
        <v>1.0</v>
      </c>
      <c r="I13" s="59"/>
      <c r="J13" s="59"/>
      <c r="K13" s="59"/>
      <c r="L13" s="59"/>
      <c r="M13" s="58"/>
      <c r="N13" s="58"/>
      <c r="O13" s="58"/>
      <c r="P13" s="58"/>
      <c r="Q13" s="25">
        <f t="shared" si="1"/>
        <v>25</v>
      </c>
      <c r="R13" s="1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19.0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19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15.0</v>
      </c>
      <c r="D16" s="59"/>
      <c r="E16" s="59"/>
      <c r="F16" s="59"/>
      <c r="G16" s="59"/>
      <c r="H16" s="59">
        <v>1.0</v>
      </c>
      <c r="I16" s="58"/>
      <c r="J16" s="58"/>
      <c r="K16" s="58"/>
      <c r="L16" s="58"/>
      <c r="M16" s="58"/>
      <c r="N16" s="58"/>
      <c r="O16" s="58"/>
      <c r="P16" s="58"/>
      <c r="Q16" s="25">
        <f t="shared" si="2"/>
        <v>16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1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3.0</v>
      </c>
      <c r="D18" s="59"/>
      <c r="E18" s="59"/>
      <c r="F18" s="59"/>
      <c r="G18" s="59">
        <v>1.0</v>
      </c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4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8.0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8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5.0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5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3.0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3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4.0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4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41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4.0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4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9.0</v>
      </c>
      <c r="D11" s="59"/>
      <c r="E11" s="59"/>
      <c r="F11" s="59"/>
      <c r="G11" s="59"/>
      <c r="H11" s="59"/>
      <c r="I11" s="59"/>
      <c r="J11" s="59"/>
      <c r="K11" s="59"/>
      <c r="L11" s="58"/>
      <c r="M11" s="58"/>
      <c r="N11" s="58"/>
      <c r="O11" s="58"/>
      <c r="P11" s="58"/>
      <c r="Q11" s="25">
        <f t="shared" si="1"/>
        <v>9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8.0</v>
      </c>
      <c r="D12" s="59"/>
      <c r="E12" s="59"/>
      <c r="F12" s="59"/>
      <c r="G12" s="59"/>
      <c r="H12" s="59"/>
      <c r="I12" s="59"/>
      <c r="J12" s="59"/>
      <c r="K12" s="59"/>
      <c r="L12" s="58"/>
      <c r="M12" s="58"/>
      <c r="N12" s="58"/>
      <c r="O12" s="58"/>
      <c r="P12" s="58"/>
      <c r="Q12" s="25">
        <f t="shared" si="1"/>
        <v>8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4.0</v>
      </c>
      <c r="D13" s="59"/>
      <c r="E13" s="59"/>
      <c r="F13" s="59"/>
      <c r="G13" s="59"/>
      <c r="H13" s="59"/>
      <c r="I13" s="59"/>
      <c r="J13" s="59"/>
      <c r="K13" s="59"/>
      <c r="L13" s="58"/>
      <c r="M13" s="58"/>
      <c r="N13" s="58"/>
      <c r="O13" s="58"/>
      <c r="P13" s="58"/>
      <c r="Q13" s="25">
        <f t="shared" si="1"/>
        <v>4</v>
      </c>
      <c r="R13" s="1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12.0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12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17.0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17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10.0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10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13.0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13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5.0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5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1.0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1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2.0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2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1.0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1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42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5.0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5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13.0</v>
      </c>
      <c r="D11" s="59"/>
      <c r="E11" s="59"/>
      <c r="F11" s="59"/>
      <c r="G11" s="59"/>
      <c r="H11" s="59"/>
      <c r="I11" s="59"/>
      <c r="J11" s="59"/>
      <c r="K11" s="59"/>
      <c r="L11" s="58"/>
      <c r="M11" s="58"/>
      <c r="N11" s="58"/>
      <c r="O11" s="58"/>
      <c r="P11" s="58"/>
      <c r="Q11" s="25">
        <f t="shared" si="1"/>
        <v>13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8.0</v>
      </c>
      <c r="D12" s="59"/>
      <c r="E12" s="59"/>
      <c r="F12" s="59"/>
      <c r="G12" s="59"/>
      <c r="H12" s="59"/>
      <c r="I12" s="59"/>
      <c r="J12" s="59"/>
      <c r="K12" s="59"/>
      <c r="L12" s="58"/>
      <c r="M12" s="58"/>
      <c r="N12" s="58"/>
      <c r="O12" s="58"/>
      <c r="P12" s="58"/>
      <c r="Q12" s="25">
        <f t="shared" si="1"/>
        <v>8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11.0</v>
      </c>
      <c r="D13" s="59"/>
      <c r="E13" s="59"/>
      <c r="F13" s="59"/>
      <c r="G13" s="59"/>
      <c r="H13" s="59"/>
      <c r="I13" s="59"/>
      <c r="J13" s="59"/>
      <c r="K13" s="59"/>
      <c r="L13" s="58"/>
      <c r="M13" s="58"/>
      <c r="N13" s="58"/>
      <c r="O13" s="58"/>
      <c r="P13" s="58"/>
      <c r="Q13" s="25">
        <f t="shared" si="1"/>
        <v>11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7.0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7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12.0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12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4.0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4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2.0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2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11.0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11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5.0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5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3.0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3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5.0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5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43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5.0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5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3.0</v>
      </c>
      <c r="D11" s="59"/>
      <c r="E11" s="59"/>
      <c r="F11" s="59"/>
      <c r="G11" s="59"/>
      <c r="H11" s="59"/>
      <c r="I11" s="59"/>
      <c r="J11" s="59"/>
      <c r="K11" s="59"/>
      <c r="L11" s="58"/>
      <c r="M11" s="58"/>
      <c r="N11" s="58"/>
      <c r="O11" s="58"/>
      <c r="P11" s="58"/>
      <c r="Q11" s="25">
        <f t="shared" si="1"/>
        <v>3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3.0</v>
      </c>
      <c r="D12" s="59"/>
      <c r="E12" s="59"/>
      <c r="F12" s="59"/>
      <c r="G12" s="59"/>
      <c r="H12" s="59"/>
      <c r="I12" s="59"/>
      <c r="J12" s="59"/>
      <c r="K12" s="59"/>
      <c r="L12" s="58"/>
      <c r="M12" s="58"/>
      <c r="N12" s="58"/>
      <c r="O12" s="58"/>
      <c r="P12" s="58"/>
      <c r="Q12" s="25">
        <f t="shared" si="1"/>
        <v>3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/>
      <c r="D13" s="59"/>
      <c r="E13" s="59"/>
      <c r="F13" s="59"/>
      <c r="G13" s="59"/>
      <c r="H13" s="59"/>
      <c r="I13" s="59"/>
      <c r="J13" s="59"/>
      <c r="K13" s="59"/>
      <c r="L13" s="58"/>
      <c r="M13" s="58"/>
      <c r="N13" s="58"/>
      <c r="O13" s="58"/>
      <c r="P13" s="58"/>
      <c r="Q13" s="25">
        <f t="shared" si="1"/>
        <v>0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1.0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1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2.0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2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4.0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4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1.0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1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0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2.0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2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0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44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7.0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7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4.0</v>
      </c>
      <c r="D11" s="59"/>
      <c r="E11" s="59"/>
      <c r="F11" s="59"/>
      <c r="G11" s="59"/>
      <c r="H11" s="59"/>
      <c r="I11" s="59"/>
      <c r="J11" s="59"/>
      <c r="K11" s="58"/>
      <c r="L11" s="58"/>
      <c r="M11" s="58"/>
      <c r="N11" s="58"/>
      <c r="O11" s="58"/>
      <c r="P11" s="58"/>
      <c r="Q11" s="25">
        <f t="shared" si="1"/>
        <v>4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9.0</v>
      </c>
      <c r="D12" s="59"/>
      <c r="E12" s="59"/>
      <c r="F12" s="59"/>
      <c r="G12" s="59"/>
      <c r="H12" s="59"/>
      <c r="I12" s="59"/>
      <c r="J12" s="59"/>
      <c r="K12" s="58"/>
      <c r="L12" s="58"/>
      <c r="M12" s="58"/>
      <c r="N12" s="58"/>
      <c r="O12" s="58"/>
      <c r="P12" s="58"/>
      <c r="Q12" s="25">
        <f t="shared" si="1"/>
        <v>9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2.0</v>
      </c>
      <c r="D13" s="59"/>
      <c r="E13" s="59"/>
      <c r="F13" s="59"/>
      <c r="G13" s="59"/>
      <c r="H13" s="59"/>
      <c r="I13" s="59"/>
      <c r="J13" s="59"/>
      <c r="K13" s="58"/>
      <c r="L13" s="58"/>
      <c r="M13" s="58"/>
      <c r="N13" s="58"/>
      <c r="O13" s="58"/>
      <c r="P13" s="58"/>
      <c r="Q13" s="25">
        <f t="shared" si="1"/>
        <v>2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3.0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3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2.0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2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1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3.0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3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1.0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1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1.0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1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2.0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2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1.0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1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45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5.0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5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12.0</v>
      </c>
      <c r="D11" s="59"/>
      <c r="E11" s="59"/>
      <c r="F11" s="59"/>
      <c r="G11" s="59"/>
      <c r="H11" s="59"/>
      <c r="I11" s="59"/>
      <c r="J11" s="59"/>
      <c r="K11" s="58"/>
      <c r="L11" s="58"/>
      <c r="M11" s="58"/>
      <c r="N11" s="58"/>
      <c r="O11" s="58"/>
      <c r="P11" s="58"/>
      <c r="Q11" s="25">
        <f t="shared" si="1"/>
        <v>12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16.0</v>
      </c>
      <c r="D12" s="59"/>
      <c r="E12" s="59"/>
      <c r="F12" s="59"/>
      <c r="G12" s="59"/>
      <c r="H12" s="59"/>
      <c r="I12" s="59"/>
      <c r="J12" s="59"/>
      <c r="K12" s="58"/>
      <c r="L12" s="58"/>
      <c r="M12" s="58"/>
      <c r="N12" s="58"/>
      <c r="O12" s="58"/>
      <c r="P12" s="58"/>
      <c r="Q12" s="25">
        <f t="shared" si="1"/>
        <v>16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13.0</v>
      </c>
      <c r="D13" s="59"/>
      <c r="E13" s="59"/>
      <c r="F13" s="59"/>
      <c r="G13" s="59"/>
      <c r="H13" s="59"/>
      <c r="I13" s="59"/>
      <c r="J13" s="59"/>
      <c r="K13" s="58"/>
      <c r="L13" s="58"/>
      <c r="M13" s="58"/>
      <c r="N13" s="58"/>
      <c r="O13" s="58"/>
      <c r="P13" s="58"/>
      <c r="Q13" s="25">
        <f t="shared" si="1"/>
        <v>13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9.0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9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10.0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10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11.0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11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7.0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7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4.0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4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3.0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3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3.0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3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1.0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1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86"/>
    <col customWidth="1" min="3" max="5" width="12.29"/>
    <col customWidth="1" min="6" max="12" width="12.0"/>
    <col customWidth="1" hidden="1" min="13" max="15" width="12.0"/>
    <col customWidth="1" min="16" max="16" width="12.0"/>
    <col customWidth="1" min="17" max="17" width="23.29"/>
    <col customWidth="1" hidden="1" min="18" max="18" width="12.43"/>
    <col customWidth="1" min="19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2" t="s">
        <v>0</v>
      </c>
      <c r="D2" s="1"/>
      <c r="E2" s="43" t="str">
        <f>'Hora Máx.'!E2</f>
        <v>Monterrey, N.L.</v>
      </c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2" t="s">
        <v>2</v>
      </c>
      <c r="D3" s="1"/>
      <c r="E3" s="43" t="str">
        <f>'Hora Máx.'!E3</f>
        <v>Int. 03 Av. Fernando García Roel - Ahuehuetes - Los Nogales</v>
      </c>
      <c r="F3" s="45"/>
      <c r="G3" s="45"/>
      <c r="H3" s="45"/>
      <c r="I3" s="45"/>
      <c r="J3" s="45"/>
      <c r="K3" s="46" t="s">
        <v>9</v>
      </c>
      <c r="L3" s="47" t="str">
        <f>'Hora Máx.'!$H$5</f>
        <v/>
      </c>
      <c r="M3" s="48"/>
      <c r="N3" s="48"/>
      <c r="O3" s="48"/>
      <c r="P3" s="4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16</v>
      </c>
      <c r="D4" s="1"/>
      <c r="E4" s="49" t="s">
        <v>46</v>
      </c>
      <c r="F4" s="50"/>
      <c r="G4" s="50"/>
      <c r="H4" s="50"/>
      <c r="I4" s="46" t="s">
        <v>4</v>
      </c>
      <c r="J4" s="51">
        <f>'Hora Máx.'!$E$4</f>
        <v>0.2916666667</v>
      </c>
      <c r="K4" s="41" t="s">
        <v>5</v>
      </c>
      <c r="L4" s="51">
        <f>'Hora Máx.'!$G$4</f>
        <v>0.4166666667</v>
      </c>
      <c r="M4" s="42"/>
      <c r="N4" s="42"/>
      <c r="O4" s="42"/>
      <c r="P4" s="42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18</v>
      </c>
      <c r="D5" s="1"/>
      <c r="E5" s="3" t="s">
        <v>19</v>
      </c>
      <c r="F5" s="50"/>
      <c r="G5" s="50"/>
      <c r="H5" s="50"/>
      <c r="I5" s="7" t="s">
        <v>20</v>
      </c>
      <c r="J5" s="52" t="s">
        <v>21</v>
      </c>
      <c r="K5" s="53"/>
      <c r="L5" s="50"/>
      <c r="M5" s="54"/>
      <c r="N5" s="54"/>
      <c r="O5" s="54"/>
      <c r="P5" s="54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 t="s">
        <v>10</v>
      </c>
      <c r="B8" s="18"/>
      <c r="C8" s="55" t="s">
        <v>22</v>
      </c>
      <c r="D8" s="56" t="s">
        <v>23</v>
      </c>
      <c r="E8" s="56" t="s">
        <v>24</v>
      </c>
      <c r="F8" s="56" t="s">
        <v>25</v>
      </c>
      <c r="G8" s="56" t="s">
        <v>26</v>
      </c>
      <c r="H8" s="56" t="s">
        <v>27</v>
      </c>
      <c r="I8" s="56" t="s">
        <v>28</v>
      </c>
      <c r="J8" s="56" t="s">
        <v>29</v>
      </c>
      <c r="K8" s="56" t="s">
        <v>30</v>
      </c>
      <c r="L8" s="56" t="s">
        <v>31</v>
      </c>
      <c r="M8" s="56" t="s">
        <v>32</v>
      </c>
      <c r="N8" s="56" t="s">
        <v>33</v>
      </c>
      <c r="O8" s="56" t="s">
        <v>34</v>
      </c>
      <c r="P8" s="56" t="s">
        <v>35</v>
      </c>
      <c r="Q8" s="21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25" t="s">
        <v>13</v>
      </c>
      <c r="B9" s="25" t="s">
        <v>13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37">
        <f>'Hora Máx.'!A10</f>
        <v>0.2916666667</v>
      </c>
      <c r="B10" s="57">
        <f>'Hora Máx.'!B10</f>
        <v>0.3020833333</v>
      </c>
      <c r="C10" s="58">
        <v>8.0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25">
        <f t="shared" ref="Q10:Q13" si="1">SUM(C10:P10)</f>
        <v>8</v>
      </c>
      <c r="R10" s="1" t="str">
        <f>IF(A10='Hora Máx.'!$H$29,(Q10+Q11+Q12+Q13)/(MAX(Q10:Q13)*4),"")</f>
        <v>#REF!</v>
      </c>
      <c r="S10" s="1"/>
      <c r="T10" s="1"/>
      <c r="U10" s="1"/>
      <c r="V10" s="1"/>
      <c r="W10" s="1"/>
      <c r="X10" s="1"/>
      <c r="Y10" s="1"/>
      <c r="Z10" s="1"/>
    </row>
    <row r="11" ht="24.75" customHeight="1">
      <c r="A11" s="37">
        <f>'Hora Máx.'!A11</f>
        <v>0.3020833333</v>
      </c>
      <c r="B11" s="57">
        <f>'Hora Máx.'!B11</f>
        <v>0.3125</v>
      </c>
      <c r="C11" s="59">
        <v>9.0</v>
      </c>
      <c r="D11" s="59"/>
      <c r="E11" s="59"/>
      <c r="F11" s="59"/>
      <c r="G11" s="59"/>
      <c r="H11" s="59"/>
      <c r="I11" s="59"/>
      <c r="J11" s="58"/>
      <c r="K11" s="58"/>
      <c r="L11" s="58"/>
      <c r="M11" s="58"/>
      <c r="N11" s="58"/>
      <c r="O11" s="58"/>
      <c r="P11" s="58"/>
      <c r="Q11" s="25">
        <f t="shared" si="1"/>
        <v>9</v>
      </c>
      <c r="R11" s="1" t="str">
        <f>IF(A11='Hora Máx.'!$H$29,(Q11+Q12+Q13+Q15)/(MAX(Q11:Q13,Q15)*4),"")</f>
        <v>#REF!</v>
      </c>
      <c r="S11" s="1"/>
      <c r="T11" s="1"/>
      <c r="U11" s="1"/>
      <c r="V11" s="1"/>
      <c r="W11" s="1"/>
      <c r="X11" s="1"/>
      <c r="Y11" s="1"/>
      <c r="Z11" s="1"/>
    </row>
    <row r="12" ht="24.75" customHeight="1">
      <c r="A12" s="37">
        <f>'Hora Máx.'!A12</f>
        <v>0.3125</v>
      </c>
      <c r="B12" s="57">
        <f>'Hora Máx.'!B12</f>
        <v>0.3229166667</v>
      </c>
      <c r="C12" s="59">
        <v>13.0</v>
      </c>
      <c r="D12" s="59"/>
      <c r="E12" s="59"/>
      <c r="F12" s="59"/>
      <c r="G12" s="59"/>
      <c r="H12" s="59"/>
      <c r="I12" s="59"/>
      <c r="J12" s="58"/>
      <c r="K12" s="58"/>
      <c r="L12" s="58"/>
      <c r="M12" s="58"/>
      <c r="N12" s="58"/>
      <c r="O12" s="58"/>
      <c r="P12" s="58"/>
      <c r="Q12" s="25">
        <f t="shared" si="1"/>
        <v>13</v>
      </c>
      <c r="R12" s="1" t="str">
        <f>IF(A12='Hora Máx.'!$H$29,(Q12+Q13+Q15+Q16)/(MAX(Q12,Q13,Q15,Q16)*4),"")</f>
        <v>#REF!</v>
      </c>
      <c r="S12" s="1"/>
      <c r="T12" s="1"/>
      <c r="U12" s="1"/>
      <c r="V12" s="1"/>
      <c r="W12" s="1"/>
      <c r="X12" s="1"/>
      <c r="Y12" s="1"/>
      <c r="Z12" s="1"/>
    </row>
    <row r="13" ht="24.75" customHeight="1">
      <c r="A13" s="37">
        <f>'Hora Máx.'!A13</f>
        <v>0.3229166667</v>
      </c>
      <c r="B13" s="57">
        <f>'Hora Máx.'!B13</f>
        <v>0.3333333333</v>
      </c>
      <c r="C13" s="59">
        <v>7.0</v>
      </c>
      <c r="D13" s="59"/>
      <c r="E13" s="59"/>
      <c r="F13" s="59"/>
      <c r="G13" s="59"/>
      <c r="H13" s="59"/>
      <c r="I13" s="59"/>
      <c r="J13" s="58"/>
      <c r="K13" s="58"/>
      <c r="L13" s="58"/>
      <c r="M13" s="58"/>
      <c r="N13" s="58"/>
      <c r="O13" s="58"/>
      <c r="P13" s="58"/>
      <c r="Q13" s="25">
        <f t="shared" si="1"/>
        <v>7</v>
      </c>
      <c r="R13" s="63" t="str">
        <f>IF(A13='Hora Máx.'!$H$29,(Q13+Q15+Q16+Q17)/(MAX(Q13,Q15:Q17)*4),"")</f>
        <v>#REF!</v>
      </c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>
        <f>'Hora Máx.'!A15</f>
        <v>0.3333333333</v>
      </c>
      <c r="B15" s="57">
        <f>'Hora Máx.'!B15</f>
        <v>0.34375</v>
      </c>
      <c r="C15" s="58">
        <v>9.0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25">
        <f t="shared" ref="Q15:Q18" si="2">SUM(C15:P15)</f>
        <v>9</v>
      </c>
      <c r="R15" s="1" t="str">
        <f>IF(A15='Hora Máx.'!$H$29,(Q15+Q16+Q17+Q18)/(MAX(Q15:Q18)*4),"")</f>
        <v>#REF!</v>
      </c>
      <c r="S15" s="1"/>
      <c r="T15" s="1"/>
      <c r="U15" s="1"/>
      <c r="V15" s="1"/>
      <c r="W15" s="1"/>
      <c r="X15" s="1"/>
      <c r="Y15" s="1"/>
      <c r="Z15" s="1"/>
    </row>
    <row r="16" ht="24.75" customHeight="1">
      <c r="A16" s="37">
        <f>'Hora Máx.'!A16</f>
        <v>0.34375</v>
      </c>
      <c r="B16" s="57">
        <f>'Hora Máx.'!B16</f>
        <v>0.3541666667</v>
      </c>
      <c r="C16" s="59">
        <v>5.0</v>
      </c>
      <c r="D16" s="59"/>
      <c r="E16" s="59"/>
      <c r="F16" s="59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25">
        <f t="shared" si="2"/>
        <v>5</v>
      </c>
      <c r="R16" s="1" t="str">
        <f>IF(A16='Hora Máx.'!$H$29,(Q16+Q17+Q18+Q20)/(MAX(Q16:Q18,Q20)*4),"")</f>
        <v>#REF!</v>
      </c>
      <c r="S16" s="1"/>
      <c r="T16" s="1"/>
      <c r="U16" s="1"/>
      <c r="V16" s="1"/>
      <c r="W16" s="1"/>
      <c r="X16" s="1"/>
      <c r="Y16" s="1"/>
      <c r="Z16" s="1"/>
    </row>
    <row r="17" ht="24.75" customHeight="1">
      <c r="A17" s="37">
        <f>'Hora Máx.'!A17</f>
        <v>0.3541666667</v>
      </c>
      <c r="B17" s="57">
        <f>'Hora Máx.'!B17</f>
        <v>0.3645833333</v>
      </c>
      <c r="C17" s="59">
        <v>10.0</v>
      </c>
      <c r="D17" s="59"/>
      <c r="E17" s="59"/>
      <c r="F17" s="59"/>
      <c r="G17" s="59"/>
      <c r="H17" s="59"/>
      <c r="I17" s="58"/>
      <c r="J17" s="58"/>
      <c r="K17" s="58"/>
      <c r="L17" s="58"/>
      <c r="M17" s="58"/>
      <c r="N17" s="58"/>
      <c r="O17" s="58"/>
      <c r="P17" s="58"/>
      <c r="Q17" s="25">
        <f t="shared" si="2"/>
        <v>10</v>
      </c>
      <c r="R17" s="1" t="str">
        <f>IF(A17='Hora Máx.'!$H$29,(Q17+Q18+Q20+Q21)/(MAX(Q17,Q18,Q20,Q21)*4),"")</f>
        <v>#REF!</v>
      </c>
      <c r="S17" s="1"/>
      <c r="T17" s="1"/>
      <c r="U17" s="1"/>
      <c r="V17" s="1"/>
      <c r="W17" s="1"/>
      <c r="X17" s="1"/>
      <c r="Y17" s="1"/>
      <c r="Z17" s="1"/>
    </row>
    <row r="18" ht="24.75" customHeight="1">
      <c r="A18" s="37">
        <f>'Hora Máx.'!A18</f>
        <v>0.3645833333</v>
      </c>
      <c r="B18" s="57">
        <f>'Hora Máx.'!B18</f>
        <v>0.375</v>
      </c>
      <c r="C18" s="59">
        <v>7.0</v>
      </c>
      <c r="D18" s="59"/>
      <c r="E18" s="59"/>
      <c r="F18" s="59"/>
      <c r="G18" s="59"/>
      <c r="H18" s="59"/>
      <c r="I18" s="58"/>
      <c r="J18" s="58"/>
      <c r="K18" s="58"/>
      <c r="L18" s="58"/>
      <c r="M18" s="58"/>
      <c r="N18" s="58"/>
      <c r="O18" s="58"/>
      <c r="P18" s="58"/>
      <c r="Q18" s="25">
        <f t="shared" si="2"/>
        <v>7</v>
      </c>
      <c r="R18" s="1" t="str">
        <f>IF(A18='Hora Máx.'!$H$29,(Q18+Q20+Q21+Q22)/(MAX(Q18,Q20:Q22)*4),"")</f>
        <v>#REF!</v>
      </c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37">
        <f>'Hora Máx.'!A20</f>
        <v>0.375</v>
      </c>
      <c r="B20" s="37">
        <f>'Hora Máx.'!B20</f>
        <v>0.3854166667</v>
      </c>
      <c r="C20" s="58">
        <v>5.0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5">
        <f t="shared" ref="Q20:Q23" si="3">SUM(C20:P20)</f>
        <v>5</v>
      </c>
      <c r="R20" s="1" t="str">
        <f>IF(A20='Hora Máx.'!$H$29,(Q20+Q21+Q22+Q23)/(MAX(Q20:Q23)*4),"")</f>
        <v>#REF!</v>
      </c>
      <c r="S20" s="1"/>
      <c r="T20" s="1"/>
      <c r="U20" s="1"/>
      <c r="V20" s="1"/>
      <c r="W20" s="1"/>
      <c r="X20" s="1"/>
      <c r="Y20" s="1"/>
      <c r="Z20" s="1"/>
    </row>
    <row r="21" ht="24.75" customHeight="1">
      <c r="A21" s="37">
        <f>'Hora Máx.'!A21</f>
        <v>0.3854166667</v>
      </c>
      <c r="B21" s="37">
        <f>'Hora Máx.'!B21</f>
        <v>0.3958333333</v>
      </c>
      <c r="C21" s="58">
        <v>4.0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5">
        <f t="shared" si="3"/>
        <v>4</v>
      </c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37">
        <f>'Hora Máx.'!A22</f>
        <v>0.3958333333</v>
      </c>
      <c r="B22" s="37">
        <f>'Hora Máx.'!B22</f>
        <v>0.40625</v>
      </c>
      <c r="C22" s="58">
        <v>4.0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5">
        <f t="shared" si="3"/>
        <v>4</v>
      </c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37">
        <f>'Hora Máx.'!A23</f>
        <v>0.40625</v>
      </c>
      <c r="B23" s="37">
        <f>'Hora Máx.'!B23</f>
        <v>0.4166666667</v>
      </c>
      <c r="C23" s="58">
        <v>2.0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5">
        <f t="shared" si="3"/>
        <v>2</v>
      </c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8:B8"/>
    <mergeCell ref="C8:C9"/>
    <mergeCell ref="D8:D9"/>
    <mergeCell ref="E8:E9"/>
    <mergeCell ref="F8:F9"/>
    <mergeCell ref="G8:G9"/>
    <mergeCell ref="H8:H9"/>
    <mergeCell ref="P8:P9"/>
    <mergeCell ref="Q8:Q9"/>
    <mergeCell ref="I8:I9"/>
    <mergeCell ref="J8:J9"/>
    <mergeCell ref="K8:K9"/>
    <mergeCell ref="L8:L9"/>
    <mergeCell ref="M8:M9"/>
    <mergeCell ref="N8:N9"/>
    <mergeCell ref="O8:O9"/>
  </mergeCells>
  <printOptions horizontalCentered="1" verticalCentered="1"/>
  <pageMargins bottom="1.0" footer="0.0" header="0.0" left="0.1968503937007874" right="0.1968503937007874" top="0.9448818897637796"/>
  <pageSetup orientation="landscape"/>
  <headerFooter>
    <oddHeader>&amp;CCLASIFICACION VEHICULAR</oddHead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12" width="9.43"/>
    <col customWidth="1" min="13" max="13" width="10.71"/>
    <col customWidth="1" min="14" max="14" width="21.14"/>
    <col customWidth="1" min="15" max="15" width="10.29"/>
    <col customWidth="1" min="16" max="16" width="15.29"/>
    <col customWidth="1" min="17" max="26" width="12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8" t="s">
        <v>0</v>
      </c>
      <c r="D2" s="1"/>
      <c r="E2" s="43" t="str">
        <f>'Hora Máx.'!$E$2</f>
        <v>Monterrey, N.L.</v>
      </c>
      <c r="F2" s="44"/>
      <c r="G2" s="44"/>
      <c r="H2" s="44"/>
      <c r="I2" s="44"/>
      <c r="J2" s="4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8" t="s">
        <v>2</v>
      </c>
      <c r="D3" s="1"/>
      <c r="E3" s="64" t="str">
        <f>'Hora Máx.'!$E$3</f>
        <v>Int. 03 Av. Fernando García Roel - Ahuehuetes - Los Nogales</v>
      </c>
      <c r="F3" s="45"/>
      <c r="G3" s="45"/>
      <c r="H3" s="45"/>
      <c r="I3" s="45"/>
      <c r="J3" s="45"/>
      <c r="K3" s="1"/>
      <c r="L3" s="1"/>
      <c r="M3" s="1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 t="s">
        <v>4</v>
      </c>
      <c r="D4" s="1"/>
      <c r="E4" s="51">
        <f>'Hora Máx.'!$E$4</f>
        <v>0.2916666667</v>
      </c>
      <c r="F4" s="65"/>
      <c r="G4" s="66" t="s">
        <v>5</v>
      </c>
      <c r="H4" s="51">
        <f>'Hora Máx.'!$G$4</f>
        <v>0.4166666667</v>
      </c>
      <c r="I4" s="65"/>
      <c r="J4" s="67"/>
      <c r="K4" s="1"/>
      <c r="L4" s="1"/>
      <c r="M4" s="1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 t="s">
        <v>47</v>
      </c>
      <c r="D5" s="1"/>
      <c r="E5" s="51" t="str">
        <f>'Hora Máx.'!H29</f>
        <v>#REF!</v>
      </c>
      <c r="F5" s="65"/>
      <c r="G5" s="41" t="s">
        <v>5</v>
      </c>
      <c r="H5" s="51" t="str">
        <f>'Hora Máx.'!I29</f>
        <v>#REF!</v>
      </c>
      <c r="I5" s="65"/>
      <c r="J5" s="1"/>
      <c r="K5" s="1"/>
      <c r="L5" s="1"/>
      <c r="M5" s="1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 t="s">
        <v>9</v>
      </c>
      <c r="D6" s="1"/>
      <c r="E6" s="47" t="str">
        <f>'Hora Máx.'!$H$5</f>
        <v/>
      </c>
      <c r="F6" s="65"/>
      <c r="G6" s="68"/>
      <c r="H6" s="69"/>
      <c r="I6" s="46"/>
      <c r="J6" s="1"/>
      <c r="K6" s="1"/>
      <c r="L6" s="1"/>
      <c r="M6" s="1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1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70" t="s">
        <v>48</v>
      </c>
      <c r="B8" s="71" t="s">
        <v>49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18"/>
      <c r="N8" s="72" t="s">
        <v>11</v>
      </c>
      <c r="O8" s="73"/>
      <c r="P8" s="74" t="s">
        <v>11</v>
      </c>
      <c r="Q8" s="74" t="s">
        <v>50</v>
      </c>
      <c r="R8" s="75" t="s">
        <v>51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34" t="s">
        <v>52</v>
      </c>
      <c r="B9" s="76" t="s">
        <v>53</v>
      </c>
      <c r="C9" s="76" t="s">
        <v>54</v>
      </c>
      <c r="D9" s="76" t="s">
        <v>24</v>
      </c>
      <c r="E9" s="76" t="s">
        <v>54</v>
      </c>
      <c r="F9" s="77" t="s">
        <v>25</v>
      </c>
      <c r="G9" s="76" t="s">
        <v>54</v>
      </c>
      <c r="H9" s="78" t="s">
        <v>55</v>
      </c>
      <c r="I9" s="76" t="s">
        <v>54</v>
      </c>
      <c r="J9" s="77" t="s">
        <v>56</v>
      </c>
      <c r="K9" s="76" t="s">
        <v>54</v>
      </c>
      <c r="L9" s="78" t="s">
        <v>57</v>
      </c>
      <c r="M9" s="79" t="s">
        <v>54</v>
      </c>
      <c r="N9" s="80"/>
      <c r="O9" s="81"/>
      <c r="P9" s="82"/>
      <c r="Q9" s="82"/>
      <c r="R9" s="83"/>
      <c r="S9" s="1"/>
      <c r="T9" s="1"/>
      <c r="U9" s="1"/>
      <c r="V9" s="1"/>
      <c r="W9" s="1"/>
      <c r="X9" s="1"/>
      <c r="Y9" s="1"/>
      <c r="Z9" s="1"/>
    </row>
    <row r="10" ht="18.0" customHeight="1">
      <c r="A10" s="84" t="s">
        <v>58</v>
      </c>
      <c r="B10" s="85" t="str">
        <f>CHOOSE($O$10,SUM('1'!$C$10:$C$13,'1'!$D$10:$D$13),SUM('1'!$C$11:$C$15,'1'!$D$11:$D$15),SUM('1'!$C$12:$C$16,'1'!$D$12:$D$16),SUM('1'!$C$13:$C$17,'1'!$D$13:$D$17),SUM('1'!$C$15:$C$18,'1'!$D$15:$D$18),SUM('1'!$C$16:$C$20,'1'!$D$16:$D$20),SUM('1'!$C$17:$C$21,'1'!$D$17:$D$21),SUM('1'!$C$18:$C$22,'1'!$D$18:$D$22),SUM('1'!$C$20:$C$23,'1'!$D$20:$D$23))</f>
        <v>#REF!</v>
      </c>
      <c r="C10" s="86" t="str">
        <f>IF(N10="","",B10/CHOOSE($O$10,SUM('1'!$Q$10:$Q$13),SUM('1'!$Q$11:$Q$15),SUM('1'!$Q$12:$Q$16),SUM('1'!$Q$13:$Q$17),SUM('1'!$Q$15:$Q$18),SUM('1'!$Q$16:$Q$20),SUM('1'!$Q$17:$Q$21),SUM('1'!$Q$18:$Q$22),SUM('1'!$Q$20:$Q$23)))</f>
        <v>#REF!</v>
      </c>
      <c r="D10" s="85" t="str">
        <f>CHOOSE($O$10,SUM('1'!$E$10:$E$13),SUM('1'!$E$11:$E$15),SUM('1'!$E$12:$E$16),SUM('1'!$E$13:$E$17),SUM('1'!$E$15:$E$18),SUM('1'!$E$16:$E$20),SUM('1'!$E$17:$E$21),SUM('1'!$E$18:$E$22),SUM('1'!$E$20:$E$23))</f>
        <v>#REF!</v>
      </c>
      <c r="E10" s="86" t="str">
        <f>IF(N10="","",D10/CHOOSE($O$10,SUM('1'!$Q$10:$Q$13),SUM('1'!$Q$11:$Q$15),SUM('1'!$Q$12:$Q$16),SUM('1'!$Q$13:$Q$17),SUM('1'!$Q$15:$Q$18),SUM('1'!$Q$16:$Q$20),SUM('1'!$Q$17:$Q$21),SUM('1'!$Q$18:$Q$22),SUM('1'!$Q$20:$Q$23)))</f>
        <v>#REF!</v>
      </c>
      <c r="F10" s="85" t="str">
        <f>CHOOSE($O$10,SUM('1'!$F$10:$F$13),SUM('1'!$F$11:$F$15),SUM('1'!$F$12:$F$16),SUM('1'!$F$13:$F$17),SUM('1'!$F$15:$F$18),SUM('1'!$F$16:$F$20),SUM('1'!$F$17:$F$21),SUM('1'!$F$18:$F$22),SUM('1'!$F$20:$F$23))</f>
        <v>#REF!</v>
      </c>
      <c r="G10" s="86" t="str">
        <f>IF(N10="","",F10/CHOOSE($O$10,SUM('1'!$Q$10:$Q$13),SUM('1'!$Q$11:$Q$15),SUM('1'!$Q$12:$Q$16),SUM('1'!$Q$13:$Q$17),SUM('1'!$Q$15:$Q$18),SUM('1'!$Q$16:$Q$20),SUM('1'!$Q$17:$Q$21),SUM('1'!$Q$18:$Q$22),SUM('1'!$Q$20:$Q$23)))</f>
        <v>#REF!</v>
      </c>
      <c r="H10" s="85" t="str">
        <f>CHOOSE($O$10,SUM('1'!$G$10:$G$13),SUM('1'!$G$11:$G$15),SUM('1'!$G$12:$G$16),SUM('1'!$G$13:$G$17),SUM('1'!$G$15:$G$18),SUM('1'!$G$16:$G$20),SUM('1'!$G$17:$G$21),SUM('1'!$G$18:$G$22),SUM('1'!$G$20:$G$23))</f>
        <v>#REF!</v>
      </c>
      <c r="I10" s="86" t="str">
        <f>IF(N10="","",H10/CHOOSE($O$10,SUM('1'!$Q$10:$Q$13),SUM('1'!$Q$11:$Q$15),SUM('1'!$Q$12:$Q$16),SUM('1'!$Q$13:$Q$17),SUM('1'!$Q$15:$Q$18),SUM('1'!$Q$16:$Q$20),SUM('1'!$Q$17:$Q$21),SUM('1'!$Q$18:$Q$22),SUM('1'!$Q$20:$Q$23)))</f>
        <v>#REF!</v>
      </c>
      <c r="J10" s="85" t="str">
        <f>CHOOSE($O$10,SUM('1'!$H$10:$O$13),SUM('1'!$H$11:$O$15),SUM('1'!$H$12:$O$16),SUM('1'!$H$13:$O$17),SUM('1'!$H$15:$O$18),SUM('1'!$H$16:$O$20),SUM('1'!$H$17:$O$21),SUM('1'!$H$18:$O$22),SUM('1'!$H$20:$O$23))</f>
        <v>#REF!</v>
      </c>
      <c r="K10" s="86" t="str">
        <f>IF(N10="","",J10/CHOOSE($O$10,SUM('1'!$Q$10:$Q$13),SUM('1'!$Q$11:$Q$15),SUM('1'!$Q$12:$Q$16),SUM('1'!$Q$13:$Q$17),SUM('1'!$Q$15:$Q$18),SUM('1'!$Q$16:$Q$20),SUM('1'!$Q$17:$Q$21),SUM('1'!$Q$18:$Q$22),SUM('1'!$Q$20:$Q$23)))</f>
        <v>#REF!</v>
      </c>
      <c r="L10" s="87" t="str">
        <f>CHOOSE($O$10,SUM('1'!$P$10:$P$13),SUM('1'!$P$11:$P$15),SUM('1'!$P$12:$P$16),SUM('1'!$P$13:$P$17),SUM('1'!$P$15:$P$18),SUM('1'!$P$16:$P$20),SUM('1'!$P$17:$P$21),SUM('1'!$P$18:$P$22),SUM('1'!$P$20:$P$23))</f>
        <v>#REF!</v>
      </c>
      <c r="M10" s="86" t="str">
        <f>IF(N10="","",L10/CHOOSE($O$10,SUM('1'!$Q$10:$Q$13),SUM('1'!$Q$11:$Q$15),SUM('1'!$Q$12:$Q$16),SUM('1'!$Q$13:$Q$17),SUM('1'!$Q$15:$Q$18),SUM('1'!$Q$16:$Q$20),SUM('1'!$Q$17:$Q$21),SUM('1'!$Q$18:$Q$22),SUM('1'!$Q$20:$Q$23)))</f>
        <v>#REF!</v>
      </c>
      <c r="N10" s="34" t="str">
        <f t="shared" ref="N10:N21" si="1">IF(B10+D10+F10+H10+J10+L10=0,"",B10+D10+F10+H10+J10+L10)</f>
        <v>#REF!</v>
      </c>
      <c r="O10" s="88" t="str">
        <f>IF('Hora Máx.'!H29='Hora Máx.'!A10,1,IF('Hora Máx.'!H29='Hora Máx.'!A11,2,IF('Hora Máx.'!H29='Hora Máx.'!A12,3,IF('Hora Máx.'!H29='Hora Máx.'!A13,4,IF('Hora Máx.'!H29='Hora Máx.'!A15,5,IF('Hora Máx.'!H29='Hora Máx.'!A16,6,IF('Hora Máx.'!H29='Hora Máx.'!A17,7,IF('Hora Máx.'!H29='Hora Máx.'!A18,8,9))))))))</f>
        <v>#REF!</v>
      </c>
      <c r="P10" s="34" t="str">
        <f t="shared" ref="P10:P36" si="2">N10</f>
        <v>#REF!</v>
      </c>
      <c r="Q10" s="89" t="str">
        <f>IF(N10="","",MAX('1'!$R$10:$R$23))</f>
        <v>#REF!</v>
      </c>
      <c r="R10" s="90" t="str">
        <f t="shared" ref="R10:R36" si="3">IF(SUM(D10,F10,J10)=0,"",SUM(D10,F10,J10)/N10)</f>
        <v>#REF!</v>
      </c>
      <c r="S10" s="1"/>
      <c r="T10" s="1"/>
      <c r="U10" s="1"/>
      <c r="V10" s="1"/>
      <c r="W10" s="1"/>
      <c r="X10" s="1"/>
      <c r="Y10" s="1"/>
      <c r="Z10" s="1"/>
    </row>
    <row r="11" ht="18.0" customHeight="1">
      <c r="A11" s="91" t="s">
        <v>59</v>
      </c>
      <c r="B11" s="25" t="str">
        <f>CHOOSE($O$10,SUM('2'!$C$10:$C$13,'2'!$D$10:$D$13),SUM('2'!$C$11:$C$15,'2'!$D$11:$D$15),SUM('2'!$C$12:$C$16,'2'!$D$12:$D$16),SUM('2'!$C$13:$C$17,'2'!$D$13:$D$17),SUM('2'!$C$15:$C$18,'2'!$D$15:$D$18),SUM('2'!$C$16:$C$20,'2'!$D$16:$D$20),SUM('2'!$C$17:$C$21,'2'!$D$17:$D$21),SUM('2'!$C$18:$C$22,'2'!$D$18:$D$22),SUM('2'!$C$20:$C$23,'2'!$D$20:$D$23))</f>
        <v>#REF!</v>
      </c>
      <c r="C11" s="92" t="str">
        <f>IF(N11="","",B11/CHOOSE($O$10,SUM('2'!$Q$10:$Q$13),SUM('2'!$Q$11:$Q$15),SUM('2'!$Q$12:$Q$16),SUM('2'!$Q$13:$Q$17),SUM('2'!$Q$15:$Q$18),SUM('2'!$Q$16:$Q$20),SUM('2'!$Q$17:$Q$21),SUM('2'!$Q$18:$Q$22),SUM('2'!$Q$20:$Q$23)))</f>
        <v>#REF!</v>
      </c>
      <c r="D11" s="25" t="str">
        <f>CHOOSE($O$10,SUM('2'!$E$10:$E$13),SUM('2'!$E$11:$E$15),SUM('2'!$E$12:$E$16),SUM('2'!$E$13:$E$17),SUM('2'!$E$15:$E$18),SUM('2'!$E$16:$E$20),SUM('2'!$E$17:$E$21),SUM('2'!$E$18:$E$22),SUM('2'!$E$20:$E$23))</f>
        <v>#REF!</v>
      </c>
      <c r="E11" s="92" t="str">
        <f>IF(N11="","",D11/CHOOSE($O$10,SUM('2'!$Q$10:$Q$13),SUM('2'!$Q$11:$Q$15),SUM('2'!$Q$12:$Q$16),SUM('2'!$Q$13:$Q$17),SUM('2'!$Q$15:$Q$18),SUM('2'!$Q$16:$Q$20),SUM('2'!$Q$17:$Q$21),SUM('2'!$Q$18:$Q$22),SUM('2'!$Q$20:$Q$23)))</f>
        <v>#REF!</v>
      </c>
      <c r="F11" s="25" t="str">
        <f>CHOOSE($O$10,SUM('2'!$F$10:$F$13),SUM('2'!$F$11:$F$15),SUM('2'!$F$12:$F$16),SUM('2'!$F$13:$F$17),SUM('2'!$F$15:$F$18),SUM('2'!$F$16:$F$20),SUM('2'!$F$17:$F$21),SUM('2'!$F$18:$F$22),SUM('2'!$F$20:$F$23))</f>
        <v>#REF!</v>
      </c>
      <c r="G11" s="92" t="str">
        <f>IF(N11="","",F11/CHOOSE($O$10,SUM('2'!$Q$10:$Q$13),SUM('2'!$Q$11:$Q$15),SUM('2'!$Q$12:$Q$16),SUM('2'!$Q$13:$Q$17),SUM('2'!$Q$15:$Q$18),SUM('2'!$Q$16:$Q$20),SUM('2'!$Q$17:$Q$21),SUM('2'!$Q$18:$Q$22),SUM('2'!$Q$20:$Q$23)))</f>
        <v>#REF!</v>
      </c>
      <c r="H11" s="25" t="str">
        <f>CHOOSE($O$10,SUM('2'!$G$10:$G$13),SUM('2'!$G$11:$G$15),SUM('2'!$G$12:$G$16),SUM('2'!$G$13:$G$17),SUM('2'!$G$15:$G$18),SUM('2'!$G$16:$G$20),SUM('2'!$G$17:$G$21),SUM('2'!$G$18:$G$22),SUM('2'!$G$20:$G$23))</f>
        <v>#REF!</v>
      </c>
      <c r="I11" s="92" t="str">
        <f>IF(N11="","",H11/CHOOSE($O$10,SUM('2'!$Q$10:$Q$13),SUM('2'!$Q$11:$Q$15),SUM('2'!$Q$12:$Q$16),SUM('2'!$Q$13:$Q$17),SUM('2'!$Q$15:$Q$18),SUM('2'!$Q$16:$Q$20),SUM('2'!$Q$17:$Q$21),SUM('2'!$Q$18:$Q$22),SUM('2'!$Q$20:$Q$23)))</f>
        <v>#REF!</v>
      </c>
      <c r="J11" s="25" t="str">
        <f>CHOOSE($O$10,SUM('2'!$H$10:$O$13),SUM('2'!$H$11:$O$15),SUM('2'!$H$12:$O$16),SUM('2'!$H$13:$O$17),SUM('2'!$H$15:$O$18),SUM('2'!$H$16:$O$20),SUM('2'!$H$17:$O$21),SUM('2'!$H$18:$O$22),SUM('2'!$H$20:$O$23))</f>
        <v>#REF!</v>
      </c>
      <c r="K11" s="92" t="str">
        <f>IF(N11="","",J11/CHOOSE($O$10,SUM('2'!$Q$10:$Q$13),SUM('2'!$Q$11:$Q$15),SUM('2'!$Q$12:$Q$16),SUM('2'!$Q$13:$Q$17),SUM('2'!$Q$15:$Q$18),SUM('2'!$Q$16:$Q$20),SUM('2'!$Q$17:$Q$21),SUM('2'!$Q$18:$Q$22),SUM('2'!$Q$20:$Q$23)))</f>
        <v>#REF!</v>
      </c>
      <c r="L11" s="38" t="str">
        <f>CHOOSE($O$10,SUM('2'!$P$10:$P$13),SUM('2'!$P$11:$P$15),SUM('2'!$P$12:$P$16),SUM('2'!$P$13:$P$17),SUM('2'!$P$15:$P$18),SUM('2'!$P$16:$P$20),SUM('2'!$P$17:$P$21),SUM('2'!$P$18:$P$22),SUM('2'!$P$20:$P$23))</f>
        <v>#REF!</v>
      </c>
      <c r="M11" s="92" t="str">
        <f>IF(N11="","",L11/CHOOSE($O$10,SUM('2'!$Q$10:$Q$13),SUM('2'!$Q$11:$Q$15),SUM('2'!$Q$12:$Q$16),SUM('2'!$Q$13:$Q$17),SUM('2'!$Q$15:$Q$18),SUM('2'!$Q$16:$Q$20),SUM('2'!$Q$17:$Q$21),SUM('2'!$Q$18:$Q$22),SUM('2'!$Q$20:$Q$23)))</f>
        <v>#REF!</v>
      </c>
      <c r="N11" s="25" t="str">
        <f t="shared" si="1"/>
        <v>#REF!</v>
      </c>
      <c r="O11" s="93"/>
      <c r="P11" s="25" t="str">
        <f t="shared" si="2"/>
        <v>#REF!</v>
      </c>
      <c r="Q11" s="94" t="str">
        <f>IF(N11="","",MAX('2'!$R$10:$R$23))</f>
        <v>#REF!</v>
      </c>
      <c r="R11" s="90" t="str">
        <f t="shared" si="3"/>
        <v>#REF!</v>
      </c>
      <c r="S11" s="1"/>
      <c r="T11" s="1"/>
      <c r="U11" s="1"/>
      <c r="V11" s="1"/>
      <c r="W11" s="1"/>
      <c r="X11" s="1"/>
      <c r="Y11" s="1"/>
      <c r="Z11" s="1"/>
    </row>
    <row r="12" ht="18.0" customHeight="1">
      <c r="A12" s="91" t="s">
        <v>60</v>
      </c>
      <c r="B12" s="25" t="str">
        <f>CHOOSE($O$10,SUM('3'!$C$10:$C$13,'3'!$D$10:$D$13),SUM('3'!$C$11:$C$15,'3'!$D$11:$D$15),SUM('3'!$C$12:$C$16,'3'!$D$12:$D$16),SUM('3'!$C$13:$C$17,'3'!$D$13:$D$17),SUM('3'!$C$15:$C$18,'3'!$D$15:$D$18),SUM('3'!$C$16:$C$20,'3'!$D$16:$D$20),SUM('3'!$C$17:$C$21,'3'!$D$17:$D$21),SUM('3'!$C$18:$C$22,'3'!$D$18:$D$22),SUM('3'!$C$20:$C$23,'3'!$D$20:$D$23))</f>
        <v>#REF!</v>
      </c>
      <c r="C12" s="92" t="str">
        <f>IF(N12="","",B12/CHOOSE($O$10,SUM('3'!$Q$10:$Q$13),SUM('3'!$Q$11:$Q$15),SUM('3'!$Q$12:$Q$16),SUM('3'!$Q$13:$Q$17),SUM('3'!$Q$15:$Q$18),SUM('3'!$Q$16:$Q$20),SUM('3'!$Q$17:$Q$21),SUM('3'!$Q$18:$Q$22),SUM('3'!$Q$20:$Q$23)))</f>
        <v>#REF!</v>
      </c>
      <c r="D12" s="25" t="str">
        <f>CHOOSE($O$10,SUM('3'!$E$10:$E$13),SUM('3'!$E$11:$E$15),SUM('3'!$E$12:$E$16),SUM('3'!$E$13:$E$17),SUM('3'!$E$15:$E$18),SUM('3'!$E$16:$E$20),SUM('3'!$E$17:$E$21),SUM('3'!$E$18:$E$22),SUM('3'!$E$20:$E$23))</f>
        <v>#REF!</v>
      </c>
      <c r="E12" s="92" t="str">
        <f>IF(N12="","",D12/CHOOSE($O$10,SUM('3'!$Q$10:$Q$13),SUM('3'!$Q$11:$Q$15),SUM('3'!$Q$12:$Q$16),SUM('3'!$Q$13:$Q$17),SUM('3'!$Q$15:$Q$18),SUM('3'!$Q$16:$Q$20),SUM('3'!$Q$17:$Q$21),SUM('3'!$Q$18:$Q$22),SUM('3'!$Q$20:$Q$23)))</f>
        <v>#REF!</v>
      </c>
      <c r="F12" s="25" t="str">
        <f>CHOOSE($O$10,SUM('3'!$F$10:$F$13),SUM('3'!$F$11:$F$15),SUM('3'!$F$12:$F$16),SUM('3'!$F$13:$F$17),SUM('3'!$F$15:$F$18),SUM('3'!$F$16:$F$20),SUM('3'!$F$17:$F$21),SUM('3'!$F$18:$F$22),SUM('3'!$F$20:$F$23))</f>
        <v>#REF!</v>
      </c>
      <c r="G12" s="92" t="str">
        <f>IF(N12="","",F12/CHOOSE($O$10,SUM('3'!$Q$10:$Q$13),SUM('3'!$Q$11:$Q$15),SUM('3'!$Q$12:$Q$16),SUM('3'!$Q$13:$Q$17),SUM('3'!$Q$15:$Q$18),SUM('3'!$Q$16:$Q$20),SUM('3'!$Q$17:$Q$21),SUM('3'!$Q$18:$Q$22),SUM('3'!$Q$20:$Q$23)))</f>
        <v>#REF!</v>
      </c>
      <c r="H12" s="25" t="str">
        <f>CHOOSE($O$10,SUM('3'!$G$10:$G$13),SUM('3'!$G$11:$G$15),SUM('3'!$G$12:$G$16),SUM('3'!$G$13:$G$17),SUM('3'!$G$15:$G$18),SUM('3'!$G$16:$G$20),SUM('3'!$G$17:$G$21),SUM('3'!$G$18:$G$22),SUM('3'!$G$20:$G$23))</f>
        <v>#REF!</v>
      </c>
      <c r="I12" s="92" t="str">
        <f>IF(N12="","",H12/CHOOSE($O$10,SUM('3'!$Q$10:$Q$13),SUM('3'!$Q$11:$Q$15),SUM('3'!$Q$12:$Q$16),SUM('3'!$Q$13:$Q$17),SUM('3'!$Q$15:$Q$18),SUM('3'!$Q$16:$Q$20),SUM('3'!$Q$17:$Q$21),SUM('3'!$Q$18:$Q$22),SUM('3'!$Q$20:$Q$23)))</f>
        <v>#REF!</v>
      </c>
      <c r="J12" s="25" t="str">
        <f>CHOOSE($O$10,SUM('3'!$H$10:$O$13),SUM('3'!$H$11:$O$15),SUM('3'!$H$12:$O$16),SUM('3'!$H$13:$O$17),SUM('3'!$H$15:$O$18),SUM('3'!$H$16:$O$20),SUM('3'!$H$17:$O$21),SUM('3'!$H$18:$O$22),SUM('3'!$H$20:$O$23))</f>
        <v>#REF!</v>
      </c>
      <c r="K12" s="92" t="str">
        <f>IF(N12="","",J12/CHOOSE($O$10,SUM('3'!$Q$10:$Q$13),SUM('3'!$Q$11:$Q$15),SUM('3'!$Q$12:$Q$16),SUM('3'!$Q$13:$Q$17),SUM('3'!$Q$15:$Q$18),SUM('3'!$Q$16:$Q$20),SUM('3'!$Q$17:$Q$21),SUM('3'!$Q$18:$Q$22),SUM('3'!$Q$20:$Q$23)))</f>
        <v>#REF!</v>
      </c>
      <c r="L12" s="38" t="str">
        <f>CHOOSE($O$10,SUM('3'!$P$10:$P$13),SUM('3'!$P$11:$P$15),SUM('3'!$P$12:$P$16),SUM('3'!$P$13:$P$17),SUM('3'!$P$15:$P$18),SUM('3'!$P$16:$P$20),SUM('3'!$P$17:$P$21),SUM('3'!$P$18:$P$22),SUM('3'!$P$20:$P$23))</f>
        <v>#REF!</v>
      </c>
      <c r="M12" s="92" t="str">
        <f>IF(N12="","",L12/CHOOSE($O$10,SUM('3'!$Q$10:$Q$13),SUM('3'!$Q$11:$Q$15),SUM('3'!$Q$12:$Q$16),SUM('3'!$Q$13:$Q$17),SUM('3'!$Q$15:$Q$18),SUM('3'!$Q$16:$Q$20),SUM('3'!$Q$17:$Q$21),SUM('3'!$Q$18:$Q$22),SUM('3'!$Q$20:$Q$23)))</f>
        <v>#REF!</v>
      </c>
      <c r="N12" s="25" t="str">
        <f t="shared" si="1"/>
        <v>#REF!</v>
      </c>
      <c r="O12" s="93"/>
      <c r="P12" s="25" t="str">
        <f t="shared" si="2"/>
        <v>#REF!</v>
      </c>
      <c r="Q12" s="94" t="str">
        <f>IF(N12="","",MAX('3'!$R$10:$R$23))</f>
        <v>#REF!</v>
      </c>
      <c r="R12" s="90" t="str">
        <f t="shared" si="3"/>
        <v>#REF!</v>
      </c>
      <c r="S12" s="1"/>
      <c r="T12" s="1"/>
      <c r="U12" s="1"/>
      <c r="V12" s="1"/>
      <c r="W12" s="1"/>
      <c r="X12" s="1"/>
      <c r="Y12" s="1"/>
      <c r="Z12" s="1"/>
    </row>
    <row r="13" ht="18.0" customHeight="1">
      <c r="A13" s="91" t="s">
        <v>61</v>
      </c>
      <c r="B13" s="25" t="str">
        <f>CHOOSE($O$10,SUM('4'!$C$10:$C$13,'4'!$D$10:$D$13),SUM('4'!$C$11:$C$15,'4'!$D$11:$D$15),SUM('4'!$C$12:$C$16,'4'!$D$12:$D$16),SUM('4'!$C$13:$C$17,'4'!$D$13:$D$17),SUM('4'!$C$15:$C$18,'4'!$D$15:$D$18),SUM('4'!$C$16:$C$20,'4'!$D$16:$D$20),SUM('4'!$C$17:$C$21,'4'!$D$17:$D$21),SUM('4'!$C$18:$C$22,'4'!$D$18:$D$22),SUM('4'!$C$20:$C$23,'4'!$D$20:$D$23))</f>
        <v>#REF!</v>
      </c>
      <c r="C13" s="92" t="str">
        <f>IF(N13="","",B13/CHOOSE($O$10,SUM('4'!$Q$10:$Q$13),SUM('4'!$Q$11:$Q$15),SUM('4'!$Q$12:$Q$16),SUM('4'!$Q$13:$Q$17),SUM('4'!$Q$15:$Q$18),SUM('4'!$Q$16:$Q$20),SUM('4'!$Q$17:$Q$21),SUM('4'!$Q$18:$Q$22),SUM('4'!$Q$20:$Q$23)))</f>
        <v>#REF!</v>
      </c>
      <c r="D13" s="25" t="str">
        <f>CHOOSE($O$10,SUM('4'!$E$10:$E$13),SUM('4'!$E$11:$E$15),SUM('4'!$E$12:$E$16),SUM('4'!$E$13:$E$17),SUM('4'!$E$15:$E$18),SUM('4'!$E$16:$E$20),SUM('4'!$E$17:$E$21),SUM('4'!$E$18:$E$22),SUM('4'!$E$20:$E$23))</f>
        <v>#REF!</v>
      </c>
      <c r="E13" s="92" t="str">
        <f>IF(N13="","",D13/CHOOSE($O$10,SUM('4'!$Q$10:$Q$13),SUM('4'!$Q$11:$Q$15),SUM('4'!$Q$12:$Q$16),SUM('4'!$Q$13:$Q$17),SUM('4'!$Q$15:$Q$18),SUM('4'!$Q$16:$Q$20),SUM('4'!$Q$17:$Q$21),SUM('4'!$Q$18:$Q$22),SUM('4'!$Q$20:$Q$23)))</f>
        <v>#REF!</v>
      </c>
      <c r="F13" s="25" t="str">
        <f>CHOOSE($O$10,SUM('4'!$F$10:$F$13),SUM('4'!$F$11:$F$15),SUM('4'!$F$12:$F$16),SUM('4'!$F$13:$F$17),SUM('4'!$F$15:$F$18),SUM('4'!$F$16:$F$20),SUM('4'!$F$17:$F$21),SUM('4'!$F$18:$F$22),SUM('4'!$F$20:$F$23))</f>
        <v>#REF!</v>
      </c>
      <c r="G13" s="92" t="str">
        <f>IF(N13="","",F13/CHOOSE($O$10,SUM('4'!$Q$10:$Q$13),SUM('4'!$Q$11:$Q$15),SUM('4'!$Q$12:$Q$16),SUM('4'!$Q$13:$Q$17),SUM('4'!$Q$15:$Q$18),SUM('4'!$Q$16:$Q$20),SUM('4'!$Q$17:$Q$21),SUM('4'!$Q$18:$Q$22),SUM('4'!$Q$20:$Q$23)))</f>
        <v>#REF!</v>
      </c>
      <c r="H13" s="25" t="str">
        <f>CHOOSE($O$10,SUM('4'!$G$10:$G$13),SUM('4'!$G$11:$G$15),SUM('4'!$G$12:$G$16),SUM('4'!$G$13:$G$17),SUM('4'!$G$15:$G$18),SUM('4'!$G$16:$G$20),SUM('4'!$G$17:$G$21),SUM('4'!$G$18:$G$22),SUM('4'!$G$20:$G$23))</f>
        <v>#REF!</v>
      </c>
      <c r="I13" s="92" t="str">
        <f>IF(N13="","",H13/CHOOSE($O$10,SUM('4'!$Q$10:$Q$13),SUM('4'!$Q$11:$Q$15),SUM('4'!$Q$12:$Q$16),SUM('4'!$Q$13:$Q$17),SUM('4'!$Q$15:$Q$18),SUM('4'!$Q$16:$Q$20),SUM('4'!$Q$17:$Q$21),SUM('4'!$Q$18:$Q$22),SUM('4'!$Q$20:$Q$23)))</f>
        <v>#REF!</v>
      </c>
      <c r="J13" s="25" t="str">
        <f>CHOOSE($O$10,SUM('4'!$H$10:$O$13),SUM('4'!$H$11:$O$15),SUM('4'!$H$12:$O$16),SUM('4'!$H$13:$O$17),SUM('4'!$H$15:$O$18),SUM('4'!$H$16:$O$20),SUM('4'!$H$17:$O$21),SUM('4'!$H$18:$O$22),SUM('4'!$H$20:$O$23))</f>
        <v>#REF!</v>
      </c>
      <c r="K13" s="92" t="str">
        <f>IF(N13="","",J13/CHOOSE($O$10,SUM('4'!$Q$10:$Q$13),SUM('4'!$Q$11:$Q$15),SUM('4'!$Q$12:$Q$16),SUM('4'!$Q$13:$Q$17),SUM('4'!$Q$15:$Q$18),SUM('4'!$Q$16:$Q$20),SUM('4'!$Q$17:$Q$21),SUM('4'!$Q$18:$Q$22),SUM('4'!$Q$20:$Q$23)))</f>
        <v>#REF!</v>
      </c>
      <c r="L13" s="38" t="str">
        <f>CHOOSE($O$10,SUM('4'!$P$10:$P$13),SUM('4'!$P$11:$P$15),SUM('4'!$P$12:$P$16),SUM('4'!$P$13:$P$17),SUM('4'!$P$15:$P$18),SUM('4'!$P$16:$P$20),SUM('4'!$P$17:$P$21),SUM('4'!$P$18:$P$22),SUM('4'!$P$20:$P$23))</f>
        <v>#REF!</v>
      </c>
      <c r="M13" s="92" t="str">
        <f>IF(N13="","",L13/CHOOSE($O$10,SUM('4'!$Q$10:$Q$13),SUM('4'!$Q$11:$Q$15),SUM('4'!$Q$12:$Q$16),SUM('4'!$Q$13:$Q$17),SUM('4'!$Q$15:$Q$18),SUM('4'!$Q$16:$Q$20),SUM('4'!$Q$17:$Q$21),SUM('4'!$Q$18:$Q$22),SUM('4'!$Q$20:$Q$23)))</f>
        <v>#REF!</v>
      </c>
      <c r="N13" s="25" t="str">
        <f t="shared" si="1"/>
        <v>#REF!</v>
      </c>
      <c r="O13" s="93"/>
      <c r="P13" s="25" t="str">
        <f t="shared" si="2"/>
        <v>#REF!</v>
      </c>
      <c r="Q13" s="94" t="str">
        <f>IF(N13="","",MAX('4'!$R$10:$R$23))</f>
        <v>#REF!</v>
      </c>
      <c r="R13" s="90" t="str">
        <f t="shared" si="3"/>
        <v>#REF!</v>
      </c>
      <c r="S13" s="1"/>
      <c r="T13" s="1"/>
      <c r="U13" s="1"/>
      <c r="V13" s="1"/>
      <c r="W13" s="1"/>
      <c r="X13" s="1"/>
      <c r="Y13" s="1"/>
      <c r="Z13" s="1"/>
    </row>
    <row r="14" ht="18.0" customHeight="1">
      <c r="A14" s="91" t="s">
        <v>62</v>
      </c>
      <c r="B14" s="25" t="str">
        <f>CHOOSE($O$10,SUM('5'!$C$10:$C$13,'5'!$D$10:$D$13),SUM('5'!$C$11:$C$15,'5'!$D$11:$D$15),SUM('5'!$C$12:$C$16,'5'!$D$12:$D$16),SUM('5'!$C$13:$C$17,'5'!$D$13:$D$17),SUM('5'!$C$15:$C$18,'5'!$D$15:$D$18),SUM('5'!$C$16:$C$20,'5'!$D$16:$D$20),SUM('5'!$C$17:$C$21,'5'!$D$17:$D$21),SUM('5'!$C$18:$C$22,'5'!$D$18:$D$22),SUM('5'!$C$20:$C$23,'5'!$D$20:$D$23))</f>
        <v>#REF!</v>
      </c>
      <c r="C14" s="92" t="str">
        <f>IF(N14="","",B14/CHOOSE($O$10,SUM('5'!$Q$10:$Q$13),SUM('5'!$Q$11:$Q$15),SUM('5'!$Q$12:$Q$16),SUM('5'!$Q$13:$Q$17),SUM('5'!$Q$15:$Q$18),SUM('5'!$Q$16:$Q$20),SUM('5'!$Q$17:$Q$21),SUM('5'!$Q$18:$Q$22),SUM('5'!$Q$20:$Q$23)))</f>
        <v>#REF!</v>
      </c>
      <c r="D14" s="25" t="str">
        <f>CHOOSE($O$10,SUM('5'!$E$10:$E$13),SUM('5'!$E$11:$E$15),SUM('5'!$E$12:$E$16),SUM('5'!$E$13:$E$17),SUM('5'!$E$15:$E$18),SUM('5'!$E$16:$E$20),SUM('5'!$E$17:$E$21),SUM('5'!$E$18:$E$22),SUM('5'!$E$20:$E$23))</f>
        <v>#REF!</v>
      </c>
      <c r="E14" s="92" t="str">
        <f>IF(N14="","",D14/CHOOSE($O$10,SUM('5'!$Q$10:$Q$13),SUM('5'!$Q$11:$Q$15),SUM('5'!$Q$12:$Q$16),SUM('5'!$Q$13:$Q$17),SUM('5'!$Q$15:$Q$18),SUM('5'!$Q$16:$Q$20),SUM('5'!$Q$17:$Q$21),SUM('5'!$Q$18:$Q$22),SUM('5'!$Q$20:$Q$23)))</f>
        <v>#REF!</v>
      </c>
      <c r="F14" s="25" t="str">
        <f>CHOOSE($O$10,SUM('5'!$F$10:$F$13),SUM('5'!$F$11:$F$15),SUM('5'!$F$12:$F$16),SUM('5'!$F$13:$F$17),SUM('5'!$F$15:$F$18),SUM('5'!$F$16:$F$20),SUM('5'!$F$17:$F$21),SUM('5'!$F$18:$F$22),SUM('5'!$F$20:$F$23))</f>
        <v>#REF!</v>
      </c>
      <c r="G14" s="92" t="str">
        <f>IF(N14="","",F14/CHOOSE($O$10,SUM('5'!$Q$10:$Q$13),SUM('5'!$Q$11:$Q$15),SUM('5'!$Q$12:$Q$16),SUM('5'!$Q$13:$Q$17),SUM('5'!$Q$15:$Q$18),SUM('5'!$Q$16:$Q$20),SUM('5'!$Q$17:$Q$21),SUM('5'!$Q$18:$Q$22),SUM('5'!$Q$20:$Q$23)))</f>
        <v>#REF!</v>
      </c>
      <c r="H14" s="25" t="str">
        <f>CHOOSE($O$10,SUM('5'!$G$10:$G$13),SUM('5'!$G$11:$G$15),SUM('5'!$G$12:$G$16),SUM('5'!$G$13:$G$17),SUM('5'!$G$15:$G$18),SUM('5'!$G$16:$G$20),SUM('5'!$G$17:$G$21),SUM('5'!$G$18:$G$22),SUM('5'!$G$20:$G$23))</f>
        <v>#REF!</v>
      </c>
      <c r="I14" s="92" t="str">
        <f>IF(N14="","",H14/CHOOSE($O$10,SUM('5'!$Q$10:$Q$13),SUM('5'!$Q$11:$Q$15),SUM('5'!$Q$12:$Q$16),SUM('5'!$Q$13:$Q$17),SUM('5'!$Q$15:$Q$18),SUM('5'!$Q$16:$Q$20),SUM('5'!$Q$17:$Q$21),SUM('5'!$Q$18:$Q$22),SUM('5'!$Q$20:$Q$23)))</f>
        <v>#REF!</v>
      </c>
      <c r="J14" s="25" t="str">
        <f>CHOOSE($O$10,SUM('5'!$H$10:$O$13),SUM('5'!$H$11:$O$15),SUM('5'!$H$12:$O$16),SUM('5'!$H$13:$O$17),SUM('5'!$H$15:$O$18),SUM('5'!$H$16:$O$20),SUM('5'!$H$17:$O$21),SUM('5'!$H$18:$O$22),SUM('5'!$H$20:$O$23))</f>
        <v>#REF!</v>
      </c>
      <c r="K14" s="92" t="str">
        <f>IF(N14="","",J14/CHOOSE($O$10,SUM('5'!$Q$10:$Q$13),SUM('5'!$Q$11:$Q$15),SUM('5'!$Q$12:$Q$16),SUM('5'!$Q$13:$Q$17),SUM('5'!$Q$15:$Q$18),SUM('5'!$Q$16:$Q$20),SUM('5'!$Q$17:$Q$21),SUM('5'!$Q$18:$Q$22),SUM('5'!$Q$20:$Q$23)))</f>
        <v>#REF!</v>
      </c>
      <c r="L14" s="38" t="str">
        <f>CHOOSE($O$10,SUM('5'!$P$10:$P$13),SUM('5'!$P$11:$P$15),SUM('5'!$P$12:$P$16),SUM('5'!$P$13:$P$17),SUM('5'!$P$15:$P$18),SUM('5'!$P$16:$P$20),SUM('5'!$P$17:$P$21),SUM('5'!$P$18:$P$22),SUM('5'!$P$20:$P$23))</f>
        <v>#REF!</v>
      </c>
      <c r="M14" s="92" t="str">
        <f>IF(N14="","",L14/CHOOSE($O$10,SUM('5'!$Q$10:$Q$13),SUM('5'!$Q$11:$Q$15),SUM('5'!$Q$12:$Q$16),SUM('5'!$Q$13:$Q$17),SUM('5'!$Q$15:$Q$18),SUM('5'!$Q$16:$Q$20),SUM('5'!$Q$17:$Q$21),SUM('5'!$Q$18:$Q$22),SUM('5'!$Q$20:$Q$23)))</f>
        <v>#REF!</v>
      </c>
      <c r="N14" s="25" t="str">
        <f t="shared" si="1"/>
        <v>#REF!</v>
      </c>
      <c r="O14" s="93"/>
      <c r="P14" s="25" t="str">
        <f t="shared" si="2"/>
        <v>#REF!</v>
      </c>
      <c r="Q14" s="94" t="str">
        <f>IF(N14="","",MAX('5'!$R$10:$R$23))</f>
        <v>#REF!</v>
      </c>
      <c r="R14" s="90" t="str">
        <f t="shared" si="3"/>
        <v>#REF!</v>
      </c>
      <c r="S14" s="1"/>
      <c r="T14" s="1"/>
      <c r="U14" s="1"/>
      <c r="V14" s="1"/>
      <c r="W14" s="1"/>
      <c r="X14" s="1"/>
      <c r="Y14" s="1"/>
      <c r="Z14" s="1"/>
    </row>
    <row r="15" ht="18.0" customHeight="1">
      <c r="A15" s="91" t="s">
        <v>63</v>
      </c>
      <c r="B15" s="25" t="str">
        <f>CHOOSE($O$10,SUM('6'!$C$10:$C$13,'6'!$D$10:$D$13),SUM('6'!$C$11:$C$15,'6'!$D$11:$D$15),SUM('6'!$C$12:$C$16,'6'!$D$12:$D$16),SUM('6'!$C$13:$C$17,'6'!$D$13:$D$17),SUM('6'!$C$15:$C$18,'6'!$D$15:$D$18),SUM('6'!$C$16:$C$20,'6'!$D$16:$D$20),SUM('6'!$C$17:$C$21,'6'!$D$17:$D$21),SUM('6'!$C$18:$C$22,'6'!$D$18:$D$22),SUM('6'!$C$20:$C$23,'6'!$D$20:$D$23))</f>
        <v>#REF!</v>
      </c>
      <c r="C15" s="92" t="str">
        <f>IF(N15="","",B15/CHOOSE($O$10,SUM('6'!$Q$10:$Q$13),SUM('6'!$Q$11:$Q$15),SUM('6'!$Q$12:$Q$16),SUM('6'!$Q$13:$Q$17),SUM('6'!$Q$15:$Q$18),SUM('6'!$Q$16:$Q$20),SUM('6'!$Q$17:$Q$21),SUM('6'!$Q$18:$Q$22),SUM('6'!$Q$20:$Q$23)))</f>
        <v>#REF!</v>
      </c>
      <c r="D15" s="25" t="str">
        <f>CHOOSE($O$10,SUM('6'!$E$10:$E$13),SUM('6'!$E$11:$E$15),SUM('6'!$E$12:$E$16),SUM('6'!$E$13:$E$17),SUM('6'!$E$15:$E$18),SUM('6'!$E$16:$E$20),SUM('6'!$E$17:$E$21),SUM('6'!$E$18:$E$22),SUM('6'!$E$20:$E$23))</f>
        <v>#REF!</v>
      </c>
      <c r="E15" s="92" t="str">
        <f>IF(N15="","",D15/CHOOSE($O$10,SUM('6'!$Q$10:$Q$13),SUM('6'!$Q$11:$Q$15),SUM('6'!$Q$12:$Q$16),SUM('6'!$Q$13:$Q$17),SUM('6'!$Q$15:$Q$18),SUM('6'!$Q$16:$Q$20),SUM('6'!$Q$17:$Q$21),SUM('6'!$Q$18:$Q$22),SUM('6'!$Q$20:$Q$23)))</f>
        <v>#REF!</v>
      </c>
      <c r="F15" s="25" t="str">
        <f>CHOOSE($O$10,SUM('6'!$F$10:$F$13),SUM('6'!$F$11:$F$15),SUM('6'!$F$12:$F$16),SUM('6'!$F$13:$F$17),SUM('6'!$F$15:$F$18),SUM('6'!$F$16:$F$20),SUM('6'!$F$17:$F$21),SUM('6'!$F$18:$F$22),SUM('6'!$F$20:$F$23))</f>
        <v>#REF!</v>
      </c>
      <c r="G15" s="92" t="str">
        <f>IF(N15="","",F15/CHOOSE($O$10,SUM('6'!$Q$10:$Q$13),SUM('6'!$Q$11:$Q$15),SUM('6'!$Q$12:$Q$16),SUM('6'!$Q$13:$Q$17),SUM('6'!$Q$15:$Q$18),SUM('6'!$Q$16:$Q$20),SUM('6'!$Q$17:$Q$21),SUM('6'!$Q$18:$Q$22),SUM('6'!$Q$20:$Q$23)))</f>
        <v>#REF!</v>
      </c>
      <c r="H15" s="25" t="str">
        <f>CHOOSE($O$10,SUM('6'!$G$10:$G$13),SUM('6'!$G$11:$G$15),SUM('6'!$G$12:$G$16),SUM('6'!$G$13:$G$17),SUM('6'!$G$15:$G$18),SUM('6'!$G$16:$G$20),SUM('6'!$G$17:$G$21),SUM('6'!$G$18:$G$22),SUM('6'!$G$20:$G$23))</f>
        <v>#REF!</v>
      </c>
      <c r="I15" s="92" t="str">
        <f>IF(N15="","",H15/CHOOSE($O$10,SUM('6'!$Q$10:$Q$13),SUM('6'!$Q$11:$Q$15),SUM('6'!$Q$12:$Q$16),SUM('6'!$Q$13:$Q$17),SUM('6'!$Q$15:$Q$18),SUM('6'!$Q$16:$Q$20),SUM('6'!$Q$17:$Q$21),SUM('6'!$Q$18:$Q$22),SUM('6'!$Q$20:$Q$23)))</f>
        <v>#REF!</v>
      </c>
      <c r="J15" s="25" t="str">
        <f>CHOOSE($O$10,SUM('6'!$H$10:$O$13),SUM('6'!$H$11:$O$15),SUM('6'!$H$12:$O$16),SUM('6'!$H$13:$O$17),SUM('6'!$H$15:$O$18),SUM('6'!$H$16:$O$20),SUM('6'!$H$17:$O$21),SUM('6'!$H$18:$O$22),SUM('6'!$H$20:$O$23))</f>
        <v>#REF!</v>
      </c>
      <c r="K15" s="92" t="str">
        <f>IF(N15="","",J15/CHOOSE($O$10,SUM('6'!$Q$10:$Q$13),SUM('6'!$Q$11:$Q$15),SUM('6'!$Q$12:$Q$16),SUM('6'!$Q$13:$Q$17),SUM('6'!$Q$15:$Q$18),SUM('6'!$Q$16:$Q$20),SUM('6'!$Q$17:$Q$21),SUM('6'!$Q$18:$Q$22),SUM('6'!$Q$20:$Q$23)))</f>
        <v>#REF!</v>
      </c>
      <c r="L15" s="38" t="str">
        <f>CHOOSE($O$10,SUM('6'!$P$10:$P$13),SUM('6'!$P$11:$P$15),SUM('6'!$P$12:$P$16),SUM('6'!$P$13:$P$17),SUM('6'!$P$15:$P$18),SUM('6'!$P$16:$P$20),SUM('6'!$P$17:$P$21),SUM('6'!$P$18:$P$22),SUM('6'!$P$20:$P$23))</f>
        <v>#REF!</v>
      </c>
      <c r="M15" s="92" t="str">
        <f>IF(N15="","",L15/CHOOSE($O$10,SUM('6'!$Q$10:$Q$13),SUM('6'!$Q$11:$Q$15),SUM('6'!$Q$12:$Q$16),SUM('6'!$Q$13:$Q$17),SUM('6'!$Q$15:$Q$18),SUM('6'!$Q$16:$Q$20),SUM('6'!$Q$17:$Q$21),SUM('6'!$Q$18:$Q$22),SUM('6'!$Q$20:$Q$23)))</f>
        <v>#REF!</v>
      </c>
      <c r="N15" s="25" t="str">
        <f t="shared" si="1"/>
        <v>#REF!</v>
      </c>
      <c r="O15" s="93"/>
      <c r="P15" s="25" t="str">
        <f t="shared" si="2"/>
        <v>#REF!</v>
      </c>
      <c r="Q15" s="94" t="str">
        <f>IF(N15="","",MAX('6'!$R$10:$R$23))</f>
        <v>#REF!</v>
      </c>
      <c r="R15" s="90" t="str">
        <f t="shared" si="3"/>
        <v>#REF!</v>
      </c>
      <c r="S15" s="1"/>
      <c r="T15" s="1"/>
      <c r="U15" s="1"/>
      <c r="V15" s="1"/>
      <c r="W15" s="1"/>
      <c r="X15" s="1"/>
      <c r="Y15" s="1"/>
      <c r="Z15" s="1"/>
    </row>
    <row r="16" ht="18.0" customHeight="1">
      <c r="A16" s="91" t="s">
        <v>64</v>
      </c>
      <c r="B16" s="25" t="str">
        <f>CHOOSE($O$10,SUM('7'!$C$10:$C$13,'7'!$D$10:$D$13),SUM('7'!$C$11:$C$15,'7'!$D$11:$D$15),SUM('7'!$C$12:$C$16,'7'!$D$12:$D$16),SUM('7'!$C$13:$C$17,'7'!$D$13:$D$17),SUM('7'!$C$15:$C$18,'7'!$D$15:$D$18),SUM('7'!$C$16:$C$20,'7'!$D$16:$D$20),SUM('7'!$C$17:$C$21,'7'!$D$17:$D$21),SUM('7'!$C$18:$C$22,'7'!$D$18:$D$22),SUM('7'!$C$20:$C$23,'7'!$D$20:$D$23))</f>
        <v>#REF!</v>
      </c>
      <c r="C16" s="92" t="str">
        <f>IF(N16="","",B16/CHOOSE($O$10,SUM('7'!$Q$10:$Q$13),SUM('7'!$Q$11:$Q$15),SUM('7'!$Q$12:$Q$16),SUM('7'!$Q$13:$Q$17),SUM('7'!$Q$15:$Q$18),SUM('7'!$Q$16:$Q$20),SUM('7'!$Q$17:$Q$21),SUM('7'!$Q$18:$Q$22),SUM('7'!$Q$20:$Q$23)))</f>
        <v>#REF!</v>
      </c>
      <c r="D16" s="25" t="str">
        <f>CHOOSE($O$10,SUM('7'!$E$10:$E$13),SUM('7'!$E$11:$E$15),SUM('7'!$E$12:$E$16),SUM('7'!$E$13:$E$17),SUM('7'!$E$15:$E$18),SUM('7'!$E$16:$E$20),SUM('7'!$E$17:$E$21),SUM('7'!$E$18:$E$22),SUM('7'!$E$20:$E$23))</f>
        <v>#REF!</v>
      </c>
      <c r="E16" s="92" t="str">
        <f>IF(N16="","",D16/CHOOSE($O$10,SUM('7'!$Q$10:$Q$13),SUM('7'!$Q$11:$Q$15),SUM('7'!$Q$12:$Q$16),SUM('7'!$Q$13:$Q$17),SUM('7'!$Q$15:$Q$18),SUM('7'!$Q$16:$Q$20),SUM('7'!$Q$17:$Q$21),SUM('7'!$Q$18:$Q$22),SUM('7'!$Q$20:$Q$23)))</f>
        <v>#REF!</v>
      </c>
      <c r="F16" s="25" t="str">
        <f>CHOOSE($O$10,SUM('7'!$F$10:$F$13),SUM('7'!$F$11:$F$15),SUM('7'!$F$12:$F$16),SUM('7'!$F$13:$F$17),SUM('7'!$F$15:$F$18),SUM('7'!$F$16:$F$20),SUM('7'!$F$17:$F$21),SUM('7'!$F$18:$F$22),SUM('7'!$F$20:$F$23))</f>
        <v>#REF!</v>
      </c>
      <c r="G16" s="92" t="str">
        <f>IF(N16="","",F16/CHOOSE($O$10,SUM('7'!$Q$10:$Q$13),SUM('7'!$Q$11:$Q$15),SUM('7'!$Q$12:$Q$16),SUM('7'!$Q$13:$Q$17),SUM('7'!$Q$15:$Q$18),SUM('7'!$Q$16:$Q$20),SUM('7'!$Q$17:$Q$21),SUM('7'!$Q$18:$Q$22),SUM('7'!$Q$20:$Q$23)))</f>
        <v>#REF!</v>
      </c>
      <c r="H16" s="25" t="str">
        <f>CHOOSE($O$10,SUM('7'!$G$10:$G$13),SUM('7'!$G$11:$G$15),SUM('7'!$G$12:$G$16),SUM('7'!$G$13:$G$17),SUM('7'!$G$15:$G$18),SUM('7'!$G$16:$G$20),SUM('7'!$G$17:$G$21),SUM('7'!$G$18:$G$22),SUM('7'!$G$20:$G$23))</f>
        <v>#REF!</v>
      </c>
      <c r="I16" s="92" t="str">
        <f>IF(N16="","",H16/CHOOSE($O$10,SUM('7'!$Q$10:$Q$13),SUM('7'!$Q$11:$Q$15),SUM('7'!$Q$12:$Q$16),SUM('7'!$Q$13:$Q$17),SUM('7'!$Q$15:$Q$18),SUM('7'!$Q$16:$Q$20),SUM('7'!$Q$17:$Q$21),SUM('7'!$Q$18:$Q$22),SUM('7'!$Q$20:$Q$23)))</f>
        <v>#REF!</v>
      </c>
      <c r="J16" s="25" t="str">
        <f>CHOOSE($O$10,SUM('7'!$H$10:$O$13),SUM('7'!$H$11:$O$15),SUM('7'!$H$12:$O$16),SUM('7'!$H$13:$O$17),SUM('7'!$H$15:$O$18),SUM('7'!$H$16:$O$20),SUM('7'!$H$17:$O$21),SUM('7'!$H$18:$O$22),SUM('7'!$H$20:$O$23))</f>
        <v>#REF!</v>
      </c>
      <c r="K16" s="92" t="str">
        <f>IF(N16="","",J16/CHOOSE($O$10,SUM('7'!$Q$10:$Q$13),SUM('7'!$Q$11:$Q$15),SUM('7'!$Q$12:$Q$16),SUM('7'!$Q$13:$Q$17),SUM('7'!$Q$15:$Q$18),SUM('7'!$Q$16:$Q$20),SUM('7'!$Q$17:$Q$21),SUM('7'!$Q$18:$Q$22),SUM('7'!$Q$20:$Q$23)))</f>
        <v>#REF!</v>
      </c>
      <c r="L16" s="38" t="str">
        <f>CHOOSE($O$10,SUM('7'!$P$10:$P$13),SUM('7'!$P$11:$P$15),SUM('7'!$P$12:$P$16),SUM('7'!$P$13:$P$17),SUM('7'!$P$15:$P$18),SUM('7'!$P$16:$P$20),SUM('7'!$P$17:$P$21),SUM('7'!$P$18:$P$22),SUM('7'!$P$20:$P$23))</f>
        <v>#REF!</v>
      </c>
      <c r="M16" s="92" t="str">
        <f>IF(N16="","",L16/CHOOSE($O$10,SUM('7'!$Q$10:$Q$13),SUM('7'!$Q$11:$Q$15),SUM('7'!$Q$12:$Q$16),SUM('7'!$Q$13:$Q$17),SUM('7'!$Q$15:$Q$18),SUM('7'!$Q$16:$Q$20),SUM('7'!$Q$17:$Q$21),SUM('7'!$Q$18:$Q$22),SUM('7'!$Q$20:$Q$23)))</f>
        <v>#REF!</v>
      </c>
      <c r="N16" s="25" t="str">
        <f t="shared" si="1"/>
        <v>#REF!</v>
      </c>
      <c r="O16" s="93"/>
      <c r="P16" s="25" t="str">
        <f t="shared" si="2"/>
        <v>#REF!</v>
      </c>
      <c r="Q16" s="94" t="str">
        <f>IF(N16="","",MAX('7'!$R$10:$R$23))</f>
        <v>#REF!</v>
      </c>
      <c r="R16" s="90" t="str">
        <f t="shared" si="3"/>
        <v>#REF!</v>
      </c>
      <c r="S16" s="1"/>
      <c r="T16" s="1"/>
      <c r="U16" s="1"/>
      <c r="V16" s="1"/>
      <c r="W16" s="1"/>
      <c r="X16" s="1"/>
      <c r="Y16" s="1"/>
      <c r="Z16" s="1"/>
    </row>
    <row r="17" ht="18.0" customHeight="1">
      <c r="A17" s="91" t="s">
        <v>65</v>
      </c>
      <c r="B17" s="25" t="str">
        <f>CHOOSE($O$10,SUM('8'!$C$10:$C$13,'8'!$D$10:$D$13),SUM('8'!$C$11:$C$15,'8'!$D$11:$D$15),SUM('8'!$C$12:$C$16,'8'!$D$12:$D$16),SUM('8'!$C$13:$C$17,'8'!$D$13:$D$17),SUM('8'!$C$15:$C$18,'8'!$D$15:$D$18),SUM('8'!$C$16:$C$20,'8'!$D$16:$D$20),SUM('8'!$C$17:$C$21,'8'!$D$17:$D$21),SUM('8'!$C$18:$C$22,'8'!$D$18:$D$22),SUM('8'!$C$20:$C$23,'8'!$D$20:$D$23))</f>
        <v>#REF!</v>
      </c>
      <c r="C17" s="92" t="str">
        <f>IF(N17="","",B17/CHOOSE($O$10,SUM('8'!$Q$10:$Q$13),SUM('8'!$Q$11:$Q$15),SUM('8'!$Q$12:$Q$16),SUM('8'!$Q$13:$Q$17),SUM('8'!$Q$15:$Q$18),SUM('8'!$Q$16:$Q$20),SUM('8'!$Q$17:$Q$21),SUM('8'!$Q$18:$Q$22),SUM('8'!$Q$20:$Q$23)))</f>
        <v>#REF!</v>
      </c>
      <c r="D17" s="25" t="str">
        <f>CHOOSE($O$10,SUM('8'!$E$10:$E$13),SUM('8'!$E$11:$E$15),SUM('8'!$E$12:$E$16),SUM('8'!$E$13:$E$17),SUM('8'!$E$15:$E$18),SUM('8'!$E$16:$E$20),SUM('8'!$E$17:$E$21),SUM('8'!$E$18:$E$22),SUM('8'!$E$20:$E$23))</f>
        <v>#REF!</v>
      </c>
      <c r="E17" s="92" t="str">
        <f>IF(N17="","",D17/CHOOSE($O$10,SUM('8'!$Q$10:$Q$13),SUM('8'!$Q$11:$Q$15),SUM('8'!$Q$12:$Q$16),SUM('8'!$Q$13:$Q$17),SUM('8'!$Q$15:$Q$18),SUM('8'!$Q$16:$Q$20),SUM('8'!$Q$17:$Q$21),SUM('8'!$Q$18:$Q$22),SUM('8'!$Q$20:$Q$23)))</f>
        <v>#REF!</v>
      </c>
      <c r="F17" s="25" t="str">
        <f>CHOOSE($O$10,SUM('8'!$F$10:$F$13),SUM('8'!$F$11:$F$15),SUM('8'!$F$12:$F$16),SUM('8'!$F$13:$F$17),SUM('8'!$F$15:$F$18),SUM('8'!$F$16:$F$20),SUM('8'!$F$17:$F$21),SUM('8'!$F$18:$F$22),SUM('8'!$F$20:$F$23))</f>
        <v>#REF!</v>
      </c>
      <c r="G17" s="92" t="str">
        <f>IF(N17="","",F17/CHOOSE($O$10,SUM('8'!$Q$10:$Q$13),SUM('8'!$Q$11:$Q$15),SUM('8'!$Q$12:$Q$16),SUM('8'!$Q$13:$Q$17),SUM('8'!$Q$15:$Q$18),SUM('8'!$Q$16:$Q$20),SUM('8'!$Q$17:$Q$21),SUM('8'!$Q$18:$Q$22),SUM('8'!$Q$20:$Q$23)))</f>
        <v>#REF!</v>
      </c>
      <c r="H17" s="25" t="str">
        <f>CHOOSE($O$10,SUM('8'!$G$10:$G$13),SUM('8'!$G$11:$G$15),SUM('8'!$G$12:$G$16),SUM('8'!$G$13:$G$17),SUM('8'!$G$15:$G$18),SUM('8'!$G$16:$G$20),SUM('8'!$G$17:$G$21),SUM('8'!$G$18:$G$22),SUM('8'!$G$20:$G$23))</f>
        <v>#REF!</v>
      </c>
      <c r="I17" s="92" t="str">
        <f>IF(N17="","",H17/CHOOSE($O$10,SUM('8'!$Q$10:$Q$13),SUM('8'!$Q$11:$Q$15),SUM('8'!$Q$12:$Q$16),SUM('8'!$Q$13:$Q$17),SUM('8'!$Q$15:$Q$18),SUM('8'!$Q$16:$Q$20),SUM('8'!$Q$17:$Q$21),SUM('8'!$Q$18:$Q$22),SUM('8'!$Q$20:$Q$23)))</f>
        <v>#REF!</v>
      </c>
      <c r="J17" s="25" t="str">
        <f>CHOOSE($O$10,SUM('8'!$H$10:$O$13),SUM('8'!$H$11:$O$15),SUM('8'!$H$12:$O$16),SUM('8'!$H$13:$O$17),SUM('8'!$H$15:$O$18),SUM('8'!$H$16:$O$20),SUM('8'!$H$17:$O$21),SUM('8'!$H$18:$O$22),SUM('8'!$H$20:$O$23))</f>
        <v>#REF!</v>
      </c>
      <c r="K17" s="92" t="str">
        <f>IF(N17="","",J17/CHOOSE($O$10,SUM('8'!$Q$10:$Q$13),SUM('8'!$Q$11:$Q$15),SUM('8'!$Q$12:$Q$16),SUM('8'!$Q$13:$Q$17),SUM('8'!$Q$15:$Q$18),SUM('8'!$Q$16:$Q$20),SUM('8'!$Q$17:$Q$21),SUM('8'!$Q$18:$Q$22),SUM('8'!$Q$20:$Q$23)))</f>
        <v>#REF!</v>
      </c>
      <c r="L17" s="38" t="str">
        <f>CHOOSE($O$10,SUM('8'!$P$10:$P$13),SUM('8'!$P$11:$P$15),SUM('8'!$P$12:$P$16),SUM('8'!$P$13:$P$17),SUM('8'!$P$15:$P$18),SUM('8'!$P$16:$P$20),SUM('8'!$P$17:$P$21),SUM('8'!$P$18:$P$22),SUM('8'!$P$20:$P$23))</f>
        <v>#REF!</v>
      </c>
      <c r="M17" s="92" t="str">
        <f>IF(N17="","",L17/CHOOSE($O$10,SUM('8'!$Q$10:$Q$13),SUM('8'!$Q$11:$Q$15),SUM('8'!$Q$12:$Q$16),SUM('8'!$Q$13:$Q$17),SUM('8'!$Q$15:$Q$18),SUM('8'!$Q$16:$Q$20),SUM('8'!$Q$17:$Q$21),SUM('8'!$Q$18:$Q$22),SUM('8'!$Q$20:$Q$23)))</f>
        <v>#REF!</v>
      </c>
      <c r="N17" s="25" t="str">
        <f t="shared" si="1"/>
        <v>#REF!</v>
      </c>
      <c r="O17" s="93"/>
      <c r="P17" s="25" t="str">
        <f t="shared" si="2"/>
        <v>#REF!</v>
      </c>
      <c r="Q17" s="94" t="str">
        <f>IF(N17="","",MAX('8'!$R$10:$R$23))</f>
        <v>#REF!</v>
      </c>
      <c r="R17" s="90" t="str">
        <f t="shared" si="3"/>
        <v>#REF!</v>
      </c>
      <c r="S17" s="1"/>
      <c r="T17" s="1"/>
      <c r="U17" s="1"/>
      <c r="V17" s="1"/>
      <c r="W17" s="1"/>
      <c r="X17" s="1"/>
      <c r="Y17" s="1"/>
      <c r="Z17" s="1"/>
    </row>
    <row r="18" ht="18.0" customHeight="1">
      <c r="A18" s="91" t="s">
        <v>66</v>
      </c>
      <c r="B18" s="25" t="str">
        <f>CHOOSE($O$10,SUM('9'!$C$10:$C$13,'9'!$D$10:$D$13),SUM('9'!$C$11:$C$15,'9'!$D$11:$D$15),SUM('9'!$C$12:$C$16,'9'!$D$12:$D$16),SUM('9'!$C$13:$C$17,'9'!$D$13:$D$17),SUM('9'!$C$15:$C$18,'9'!$D$15:$D$18),SUM('9'!$C$16:$C$20,'9'!$D$16:$D$20),SUM('9'!$C$17:$C$21,'9'!$D$17:$D$21),SUM('9'!$C$18:$C$22,'9'!$D$18:$D$22),SUM('9'!$C$20:$C$23,'9'!$D$20:$D$23))</f>
        <v>#REF!</v>
      </c>
      <c r="C18" s="92" t="str">
        <f>IF(N18="","",B18/CHOOSE($O$10,SUM('9'!$Q$10:$Q$13),SUM('9'!$Q$11:$Q$15),SUM('9'!$Q$12:$Q$16),SUM('9'!$Q$13:$Q$17),SUM('9'!$Q$15:$Q$18),SUM('9'!$Q$16:$Q$20),SUM('9'!$Q$17:$Q$21),SUM('9'!$Q$18:$Q$22),SUM('9'!$Q$20:$Q$23)))</f>
        <v>#REF!</v>
      </c>
      <c r="D18" s="25" t="str">
        <f>CHOOSE($O$10,SUM('9'!$E$10:$E$13),SUM('9'!$E$11:$E$15),SUM('9'!$E$12:$E$16),SUM('9'!$E$13:$E$17),SUM('9'!$E$15:$E$18),SUM('9'!$E$16:$E$20),SUM('9'!$E$17:$E$21),SUM('9'!$E$18:$E$22),SUM('9'!$E$20:$E$23))</f>
        <v>#REF!</v>
      </c>
      <c r="E18" s="92" t="str">
        <f>IF(N18="","",D18/CHOOSE($O$10,SUM('9'!$Q$10:$Q$13),SUM('9'!$Q$11:$Q$15),SUM('9'!$Q$12:$Q$16),SUM('9'!$Q$13:$Q$17),SUM('9'!$Q$15:$Q$18),SUM('9'!$Q$16:$Q$20),SUM('9'!$Q$17:$Q$21),SUM('9'!$Q$18:$Q$22),SUM('9'!$Q$20:$Q$23)))</f>
        <v>#REF!</v>
      </c>
      <c r="F18" s="25" t="str">
        <f>CHOOSE($O$10,SUM('9'!$F$10:$F$13),SUM('9'!$F$11:$F$15),SUM('9'!$F$12:$F$16),SUM('9'!$F$13:$F$17),SUM('9'!$F$15:$F$18),SUM('9'!$F$16:$F$20),SUM('9'!$F$17:$F$21),SUM('9'!$F$18:$F$22),SUM('9'!$F$20:$F$23))</f>
        <v>#REF!</v>
      </c>
      <c r="G18" s="92" t="str">
        <f>IF(N18="","",F18/CHOOSE($O$10,SUM('9'!$Q$10:$Q$13),SUM('9'!$Q$11:$Q$15),SUM('9'!$Q$12:$Q$16),SUM('9'!$Q$13:$Q$17),SUM('9'!$Q$15:$Q$18),SUM('9'!$Q$16:$Q$20),SUM('9'!$Q$17:$Q$21),SUM('9'!$Q$18:$Q$22),SUM('9'!$Q$20:$Q$23)))</f>
        <v>#REF!</v>
      </c>
      <c r="H18" s="25" t="str">
        <f>CHOOSE($O$10,SUM('9'!$G$10:$G$13),SUM('9'!$G$11:$G$15),SUM('9'!$G$12:$G$16),SUM('9'!$G$13:$G$17),SUM('9'!$G$15:$G$18),SUM('9'!$G$16:$G$20),SUM('9'!$G$17:$G$21),SUM('9'!$G$18:$G$22),SUM('9'!$G$20:$G$23))</f>
        <v>#REF!</v>
      </c>
      <c r="I18" s="92" t="str">
        <f>IF(N18="","",H18/CHOOSE($O$10,SUM('9'!$Q$10:$Q$13),SUM('9'!$Q$11:$Q$15),SUM('9'!$Q$12:$Q$16),SUM('9'!$Q$13:$Q$17),SUM('9'!$Q$15:$Q$18),SUM('9'!$Q$16:$Q$20),SUM('9'!$Q$17:$Q$21),SUM('9'!$Q$18:$Q$22),SUM('9'!$Q$20:$Q$23)))</f>
        <v>#REF!</v>
      </c>
      <c r="J18" s="25" t="str">
        <f>CHOOSE($O$10,SUM('9'!$H$10:$O$13),SUM('9'!$H$11:$O$15),SUM('9'!$H$12:$O$16),SUM('9'!$H$13:$O$17),SUM('9'!$H$15:$O$18),SUM('9'!$H$16:$O$20),SUM('9'!$H$17:$O$21),SUM('9'!$H$18:$O$22),SUM('9'!$H$20:$O$23))</f>
        <v>#REF!</v>
      </c>
      <c r="K18" s="92" t="str">
        <f>IF(N18="","",J18/CHOOSE($O$10,SUM('9'!$Q$10:$Q$13),SUM('9'!$Q$11:$Q$15),SUM('9'!$Q$12:$Q$16),SUM('9'!$Q$13:$Q$17),SUM('9'!$Q$15:$Q$18),SUM('9'!$Q$16:$Q$20),SUM('9'!$Q$17:$Q$21),SUM('9'!$Q$18:$Q$22),SUM('9'!$Q$20:$Q$23)))</f>
        <v>#REF!</v>
      </c>
      <c r="L18" s="38" t="str">
        <f>CHOOSE($O$10,SUM('9'!$P$10:$P$13),SUM('9'!$P$11:$P$15),SUM('9'!$P$12:$P$16),SUM('9'!$P$13:$P$17),SUM('9'!$P$15:$P$18),SUM('9'!$P$16:$P$20),SUM('9'!$P$17:$P$21),SUM('9'!$P$18:$P$22),SUM('9'!$P$20:$P$23))</f>
        <v>#REF!</v>
      </c>
      <c r="M18" s="92" t="str">
        <f>IF(N18="","",L18/CHOOSE($O$10,SUM('9'!$Q$10:$Q$13),SUM('9'!$Q$11:$Q$15),SUM('9'!$Q$12:$Q$16),SUM('9'!$Q$13:$Q$17),SUM('9'!$Q$15:$Q$18),SUM('9'!$Q$16:$Q$20),SUM('9'!$Q$17:$Q$21),SUM('9'!$Q$18:$Q$22),SUM('9'!$Q$20:$Q$23)))</f>
        <v>#REF!</v>
      </c>
      <c r="N18" s="25" t="str">
        <f t="shared" si="1"/>
        <v>#REF!</v>
      </c>
      <c r="O18" s="93"/>
      <c r="P18" s="25" t="str">
        <f t="shared" si="2"/>
        <v>#REF!</v>
      </c>
      <c r="Q18" s="94" t="str">
        <f>IF(N18="","",MAX('9'!$R$10:$R$23))</f>
        <v>#REF!</v>
      </c>
      <c r="R18" s="90" t="str">
        <f t="shared" si="3"/>
        <v>#REF!</v>
      </c>
      <c r="S18" s="1"/>
      <c r="T18" s="1"/>
      <c r="U18" s="1"/>
      <c r="V18" s="1"/>
      <c r="W18" s="1"/>
      <c r="X18" s="1"/>
      <c r="Y18" s="1"/>
      <c r="Z18" s="1"/>
    </row>
    <row r="19" ht="18.0" customHeight="1">
      <c r="A19" s="91" t="s">
        <v>67</v>
      </c>
      <c r="B19" s="25" t="str">
        <f>CHOOSE($O$10,SUM('10'!$C$10:$C$13,'10'!$D$10:$D$13),SUM('10'!$C$11:$C$15,'10'!$D$11:$D$15),SUM('10'!$C$12:$C$16,'10'!$D$12:$D$16),SUM('10'!$C$13:$C$17,'10'!$D$13:$D$17),SUM('10'!$C$15:$C$18,'10'!$D$15:$D$18),SUM('10'!$C$16:$C$20,'10'!$D$16:$D$20),SUM('10'!$C$17:$C$21,'10'!$D$17:$D$21),SUM('10'!$C$18:$C$22,'10'!$D$18:$D$22),SUM('10'!$C$20:$C$23,'10'!$D$20:$D$23))</f>
        <v>#REF!</v>
      </c>
      <c r="C19" s="92" t="str">
        <f>IF(N19="","",B19/CHOOSE($O$10,SUM('10'!$Q$10:$Q$13),SUM('10'!$Q$11:$Q$15),SUM('10'!$Q$12:$Q$16),SUM('10'!$Q$13:$Q$17),SUM('10'!$Q$15:$Q$18),SUM('10'!$Q$16:$Q$20),SUM('10'!$Q$17:$Q$21),SUM('10'!$Q$18:$Q$22),SUM('10'!$Q$20:$Q$23)))</f>
        <v>#REF!</v>
      </c>
      <c r="D19" s="25" t="str">
        <f>CHOOSE($O$10,SUM('10'!$E$10:$E$13),SUM('10'!$E$11:$E$15),SUM('10'!$E$12:$E$16),SUM('10'!$E$13:$E$17),SUM('10'!$E$15:$E$18),SUM('10'!$E$16:$E$20),SUM('10'!$E$17:$E$21),SUM('10'!$E$18:$E$22),SUM('10'!$E$20:$E$23))</f>
        <v>#REF!</v>
      </c>
      <c r="E19" s="92" t="str">
        <f>IF(N19="","",D19/CHOOSE($O$10,SUM('10'!$Q$10:$Q$13),SUM('10'!$Q$11:$Q$15),SUM('10'!$Q$12:$Q$16),SUM('10'!$Q$13:$Q$17),SUM('10'!$Q$15:$Q$18),SUM('10'!$Q$16:$Q$20),SUM('10'!$Q$17:$Q$21),SUM('10'!$Q$18:$Q$22),SUM('10'!$Q$20:$Q$23)))</f>
        <v>#REF!</v>
      </c>
      <c r="F19" s="25" t="str">
        <f>CHOOSE($O$10,SUM('10'!$F$10:$F$13),SUM('10'!$F$11:$F$15),SUM('10'!$F$12:$F$16),SUM('10'!$F$13:$F$17),SUM('10'!$F$15:$F$18),SUM('10'!$F$16:$F$20),SUM('10'!$F$17:$F$21),SUM('10'!$F$18:$F$22),SUM('10'!$F$20:$F$23))</f>
        <v>#REF!</v>
      </c>
      <c r="G19" s="92" t="str">
        <f>IF(N19="","",F19/CHOOSE($O$10,SUM('10'!$Q$10:$Q$13),SUM('10'!$Q$11:$Q$15),SUM('10'!$Q$12:$Q$16),SUM('10'!$Q$13:$Q$17),SUM('10'!$Q$15:$Q$18),SUM('10'!$Q$16:$Q$20),SUM('10'!$Q$17:$Q$21),SUM('10'!$Q$18:$Q$22),SUM('10'!$Q$20:$Q$23)))</f>
        <v>#REF!</v>
      </c>
      <c r="H19" s="25" t="str">
        <f>CHOOSE($O$10,SUM('10'!$G$10:$G$13),SUM('10'!$G$11:$G$15),SUM('10'!$G$12:$G$16),SUM('10'!$G$13:$G$17),SUM('10'!$G$15:$G$18),SUM('10'!$G$16:$G$20),SUM('10'!$G$17:$G$21),SUM('10'!$G$18:$G$22),SUM('10'!$G$20:$G$23))</f>
        <v>#REF!</v>
      </c>
      <c r="I19" s="92" t="str">
        <f>IF(N19="","",H19/CHOOSE($O$10,SUM('10'!$Q$10:$Q$13),SUM('10'!$Q$11:$Q$15),SUM('10'!$Q$12:$Q$16),SUM('10'!$Q$13:$Q$17),SUM('10'!$Q$15:$Q$18),SUM('10'!$Q$16:$Q$20),SUM('10'!$Q$17:$Q$21),SUM('10'!$Q$18:$Q$22),SUM('10'!$Q$20:$Q$23)))</f>
        <v>#REF!</v>
      </c>
      <c r="J19" s="25" t="str">
        <f>CHOOSE($O$10,SUM('10'!$H$10:$O$13),SUM('10'!$H$11:$O$15),SUM('10'!$H$12:$O$16),SUM('10'!$H$13:$O$17),SUM('10'!$H$15:$O$18),SUM('10'!$H$16:$O$20),SUM('10'!$H$17:$O$21),SUM('10'!$H$18:$O$22),SUM('10'!$H$20:$O$23))</f>
        <v>#REF!</v>
      </c>
      <c r="K19" s="92" t="str">
        <f>IF(N19="","",J19/CHOOSE($O$10,SUM('10'!$Q$10:$Q$13),SUM('10'!$Q$11:$Q$15),SUM('10'!$Q$12:$Q$16),SUM('10'!$Q$13:$Q$17),SUM('10'!$Q$15:$Q$18),SUM('10'!$Q$16:$Q$20),SUM('10'!$Q$17:$Q$21),SUM('10'!$Q$18:$Q$22),SUM('10'!$Q$20:$Q$23)))</f>
        <v>#REF!</v>
      </c>
      <c r="L19" s="38" t="str">
        <f>CHOOSE($O$10,SUM('10'!$P$10:$P$13),SUM('10'!$P$11:$P$15),SUM('10'!$P$12:$P$16),SUM('10'!$P$13:$P$17),SUM('10'!$P$15:$P$18),SUM('10'!$P$16:$P$20),SUM('10'!$P$17:$P$21),SUM('10'!$P$18:$P$22),SUM('10'!$P$20:$P$23))</f>
        <v>#REF!</v>
      </c>
      <c r="M19" s="92" t="str">
        <f>IF(N19="","",L19/CHOOSE($O$10,SUM('10'!$Q$10:$Q$13),SUM('10'!$Q$11:$Q$15),SUM('10'!$Q$12:$Q$16),SUM('10'!$Q$13:$Q$17),SUM('10'!$Q$15:$Q$18),SUM('10'!$Q$16:$Q$20),SUM('10'!$Q$17:$Q$21),SUM('10'!$Q$18:$Q$22),SUM('10'!$Q$20:$Q$23)))</f>
        <v>#REF!</v>
      </c>
      <c r="N19" s="25" t="str">
        <f t="shared" si="1"/>
        <v>#REF!</v>
      </c>
      <c r="O19" s="93"/>
      <c r="P19" s="25" t="str">
        <f t="shared" si="2"/>
        <v>#REF!</v>
      </c>
      <c r="Q19" s="94" t="str">
        <f>IF(N19="","",MAX('10'!$R$10:$R$23))</f>
        <v>#REF!</v>
      </c>
      <c r="R19" s="90" t="str">
        <f t="shared" si="3"/>
        <v>#REF!</v>
      </c>
      <c r="S19" s="1"/>
      <c r="T19" s="1"/>
      <c r="U19" s="1"/>
      <c r="V19" s="1"/>
      <c r="W19" s="1"/>
      <c r="X19" s="1"/>
      <c r="Y19" s="1"/>
      <c r="Z19" s="1"/>
    </row>
    <row r="20" ht="18.0" customHeight="1">
      <c r="A20" s="91" t="s">
        <v>68</v>
      </c>
      <c r="B20" s="25" t="str">
        <f>CHOOSE($O$10,SUM('11'!$C$10:$C$13,'11'!$D$10:$D$13),SUM('11'!$C$11:$C$15,'11'!$D$11:$D$15),SUM('11'!$C$12:$C$16,'11'!$D$12:$D$16),SUM('11'!$C$13:$C$17,'11'!$D$13:$D$17),SUM('11'!$C$15:$C$18,'11'!$D$15:$D$18),SUM('11'!$C$16:$C$20,'11'!$D$16:$D$20),SUM('11'!$C$17:$C$21,'11'!$D$17:$D$21),SUM('11'!$C$18:$C$22,'11'!$D$18:$D$22),SUM('11'!$C$20:$C$23,'11'!$D$20:$D$23))</f>
        <v>#REF!</v>
      </c>
      <c r="C20" s="92" t="str">
        <f>IF(N20="","",B20/CHOOSE($O$10,SUM('11'!$Q$10:$Q$13),SUM('11'!$Q$11:$Q$15),SUM('11'!$Q$12:$Q$16),SUM('11'!$Q$13:$Q$17),SUM('11'!$Q$15:$Q$18),SUM('11'!$Q$16:$Q$20),SUM('11'!$Q$17:$Q$21),SUM('11'!$Q$18:$Q$22),SUM('11'!$Q$20:$Q$23)))</f>
        <v>#REF!</v>
      </c>
      <c r="D20" s="25" t="str">
        <f>CHOOSE($O$10,SUM('11'!$E$10:$E$13),SUM('11'!$E$11:$E$15),SUM('11'!$E$12:$E$16),SUM('11'!$E$13:$E$17),SUM('11'!$E$15:$E$18),SUM('11'!$E$16:$E$20),SUM('11'!$E$17:$E$21),SUM('11'!$E$18:$E$22),SUM('11'!$E$20:$E$23))</f>
        <v>#REF!</v>
      </c>
      <c r="E20" s="92" t="str">
        <f>IF(N20="","",D20/CHOOSE($O$10,SUM('11'!$Q$10:$Q$13),SUM('11'!$Q$11:$Q$15),SUM('11'!$Q$12:$Q$16),SUM('11'!$Q$13:$Q$17),SUM('11'!$Q$15:$Q$18),SUM('11'!$Q$16:$Q$20),SUM('11'!$Q$17:$Q$21),SUM('11'!$Q$18:$Q$22),SUM('11'!$Q$20:$Q$23)))</f>
        <v>#REF!</v>
      </c>
      <c r="F20" s="25" t="str">
        <f>CHOOSE($O$10,SUM('11'!$F$10:$F$13),SUM('11'!$F$11:$F$15),SUM('11'!$F$12:$F$16),SUM('11'!$F$13:$F$17),SUM('11'!$F$15:$F$18),SUM('11'!$F$16:$F$20),SUM('11'!$F$17:$F$21),SUM('11'!$F$18:$F$22),SUM('11'!$F$20:$F$23))</f>
        <v>#REF!</v>
      </c>
      <c r="G20" s="92" t="str">
        <f>IF(N20="","",F20/CHOOSE($O$10,SUM('11'!$Q$10:$Q$13),SUM('11'!$Q$11:$Q$15),SUM('11'!$Q$12:$Q$16),SUM('11'!$Q$13:$Q$17),SUM('11'!$Q$15:$Q$18),SUM('11'!$Q$16:$Q$20),SUM('11'!$Q$17:$Q$21),SUM('11'!$Q$18:$Q$22),SUM('11'!$Q$20:$Q$23)))</f>
        <v>#REF!</v>
      </c>
      <c r="H20" s="25" t="str">
        <f>CHOOSE($O$10,SUM('11'!$G$10:$G$13),SUM('11'!$G$11:$G$15),SUM('11'!$G$12:$G$16),SUM('11'!$G$13:$G$17),SUM('11'!$G$15:$G$18),SUM('11'!$G$16:$G$20),SUM('11'!$G$17:$G$21),SUM('11'!$G$18:$G$22),SUM('11'!$G$20:$G$23))</f>
        <v>#REF!</v>
      </c>
      <c r="I20" s="92" t="str">
        <f>IF(N20="","",H20/CHOOSE($O$10,SUM('11'!$Q$10:$Q$13),SUM('11'!$Q$11:$Q$15),SUM('11'!$Q$12:$Q$16),SUM('11'!$Q$13:$Q$17),SUM('11'!$Q$15:$Q$18),SUM('11'!$Q$16:$Q$20),SUM('11'!$Q$17:$Q$21),SUM('11'!$Q$18:$Q$22),SUM('11'!$Q$20:$Q$23)))</f>
        <v>#REF!</v>
      </c>
      <c r="J20" s="25" t="str">
        <f>CHOOSE($O$10,SUM('11'!$H$10:$O$13),SUM('11'!$H$11:$O$15),SUM('11'!$H$12:$O$16),SUM('11'!$H$13:$O$17),SUM('11'!$H$15:$O$18),SUM('11'!$H$16:$O$20),SUM('11'!$H$17:$O$21),SUM('11'!$H$18:$O$22),SUM('11'!$H$20:$O$23))</f>
        <v>#REF!</v>
      </c>
      <c r="K20" s="92" t="str">
        <f>IF(N20="","",J20/CHOOSE($O$10,SUM('11'!$Q$10:$Q$13),SUM('11'!$Q$11:$Q$15),SUM('11'!$Q$12:$Q$16),SUM('11'!$Q$13:$Q$17),SUM('11'!$Q$15:$Q$18),SUM('11'!$Q$16:$Q$20),SUM('11'!$Q$17:$Q$21),SUM('11'!$Q$18:$Q$22),SUM('11'!$Q$20:$Q$23)))</f>
        <v>#REF!</v>
      </c>
      <c r="L20" s="38" t="str">
        <f>CHOOSE($O$10,SUM('11'!$P$10:$P$13),SUM('11'!$P$11:$P$15),SUM('11'!$P$12:$P$16),SUM('11'!$P$13:$P$17),SUM('11'!$P$15:$P$18),SUM('11'!$P$16:$P$20),SUM('11'!$P$17:$P$21),SUM('11'!$P$18:$P$22),SUM('11'!$P$20:$P$23))</f>
        <v>#REF!</v>
      </c>
      <c r="M20" s="92" t="str">
        <f>IF(N20="","",L20/CHOOSE($O$10,SUM('11'!$Q$10:$Q$13),SUM('11'!$Q$11:$Q$15),SUM('11'!$Q$12:$Q$16),SUM('11'!$Q$13:$Q$17),SUM('11'!$Q$15:$Q$18),SUM('11'!$Q$16:$Q$20),SUM('11'!$Q$17:$Q$21),SUM('11'!$Q$18:$Q$22),SUM('11'!$Q$20:$Q$23)))</f>
        <v>#REF!</v>
      </c>
      <c r="N20" s="25" t="str">
        <f t="shared" si="1"/>
        <v>#REF!</v>
      </c>
      <c r="O20" s="93"/>
      <c r="P20" s="25" t="str">
        <f t="shared" si="2"/>
        <v>#REF!</v>
      </c>
      <c r="Q20" s="94" t="str">
        <f>IF(N20="","",MAX('11'!$R$10:$R$23))</f>
        <v>#REF!</v>
      </c>
      <c r="R20" s="90" t="str">
        <f t="shared" si="3"/>
        <v>#REF!</v>
      </c>
      <c r="S20" s="1"/>
      <c r="T20" s="1"/>
      <c r="U20" s="1"/>
      <c r="V20" s="1"/>
      <c r="W20" s="1"/>
      <c r="X20" s="1"/>
      <c r="Y20" s="1"/>
      <c r="Z20" s="1"/>
    </row>
    <row r="21" ht="18.0" customHeight="1">
      <c r="A21" s="91" t="s">
        <v>69</v>
      </c>
      <c r="B21" s="25" t="str">
        <f>CHOOSE($O$10,SUM('12'!$C$10:$C$13,'12'!$D$10:$D$13),SUM('12'!$C$11:$C$15,'12'!$D$11:$D$15),SUM('12'!$C$12:$C$16,'12'!$D$12:$D$16),SUM('12'!$C$13:$C$17,'12'!$D$13:$D$17),SUM('12'!$C$15:$C$18,'12'!$D$15:$D$18),SUM('12'!$C$16:$C$20,'12'!$D$16:$D$20),SUM('12'!$C$17:$C$21,'12'!$D$17:$D$21),SUM('12'!$C$18:$C$22,'12'!$D$18:$D$22),SUM('12'!$C$20:$C$23,'12'!$D$20:$D$23))</f>
        <v>#REF!</v>
      </c>
      <c r="C21" s="92" t="str">
        <f>IF(N21="","",B21/CHOOSE($O$10,SUM('12'!$Q$10:$Q$13),SUM('12'!$Q$11:$Q$15),SUM('12'!$Q$12:$Q$16),SUM('12'!$Q$13:$Q$17),SUM('12'!$Q$15:$Q$18),SUM('12'!$Q$16:$Q$20),SUM('12'!$Q$17:$Q$21),SUM('12'!$Q$18:$Q$22),SUM('12'!$Q$20:$Q$23)))</f>
        <v>#REF!</v>
      </c>
      <c r="D21" s="25" t="str">
        <f>CHOOSE($O$10,SUM('12'!$E$10:$E$13),SUM('12'!$E$11:$E$15),SUM('12'!$E$12:$E$16),SUM('12'!$E$13:$E$17),SUM('12'!$E$15:$E$18),SUM('12'!$E$16:$E$20),SUM('12'!$E$17:$E$21),SUM('12'!$E$18:$E$22),SUM('12'!$E$20:$E$23))</f>
        <v>#REF!</v>
      </c>
      <c r="E21" s="92" t="str">
        <f>IF(N21="","",D21/CHOOSE($O$10,SUM('12'!$Q$10:$Q$13),SUM('12'!$Q$11:$Q$15),SUM('12'!$Q$12:$Q$16),SUM('12'!$Q$13:$Q$17),SUM('12'!$Q$15:$Q$18),SUM('12'!$Q$16:$Q$20),SUM('12'!$Q$17:$Q$21),SUM('12'!$Q$18:$Q$22),SUM('12'!$Q$20:$Q$23)))</f>
        <v>#REF!</v>
      </c>
      <c r="F21" s="25" t="str">
        <f>CHOOSE($O$10,SUM('12'!$F$10:$F$13),SUM('12'!$F$11:$F$15),SUM('12'!$F$12:$F$16),SUM('12'!$F$13:$F$17),SUM('12'!$F$15:$F$18),SUM('12'!$F$16:$F$20),SUM('12'!$F$17:$F$21),SUM('12'!$F$18:$F$22),SUM('12'!$F$20:$F$23))</f>
        <v>#REF!</v>
      </c>
      <c r="G21" s="92" t="str">
        <f>IF(N21="","",F21/CHOOSE($O$10,SUM('12'!$Q$10:$Q$13),SUM('12'!$Q$11:$Q$15),SUM('12'!$Q$12:$Q$16),SUM('12'!$Q$13:$Q$17),SUM('12'!$Q$15:$Q$18),SUM('12'!$Q$16:$Q$20),SUM('12'!$Q$17:$Q$21),SUM('12'!$Q$18:$Q$22),SUM('12'!$Q$20:$Q$23)))</f>
        <v>#REF!</v>
      </c>
      <c r="H21" s="25" t="str">
        <f>CHOOSE($O$10,SUM('12'!$G$10:$G$13),SUM('12'!$G$11:$G$15),SUM('12'!$G$12:$G$16),SUM('12'!$G$13:$G$17),SUM('12'!$G$15:$G$18),SUM('12'!$G$16:$G$20),SUM('12'!$G$17:$G$21),SUM('12'!$G$18:$G$22),SUM('12'!$G$20:$G$23))</f>
        <v>#REF!</v>
      </c>
      <c r="I21" s="92" t="str">
        <f>IF(N21="","",H21/CHOOSE($O$10,SUM('12'!$Q$10:$Q$13),SUM('12'!$Q$11:$Q$15),SUM('12'!$Q$12:$Q$16),SUM('12'!$Q$13:$Q$17),SUM('12'!$Q$15:$Q$18),SUM('12'!$Q$16:$Q$20),SUM('12'!$Q$17:$Q$21),SUM('12'!$Q$18:$Q$22),SUM('12'!$Q$20:$Q$23)))</f>
        <v>#REF!</v>
      </c>
      <c r="J21" s="25" t="str">
        <f>CHOOSE($O$10,SUM('12'!$H$10:$O$13),SUM('12'!$H$11:$O$15),SUM('12'!$H$12:$O$16),SUM('12'!$H$13:$O$17),SUM('12'!$H$15:$O$18),SUM('12'!$H$16:$O$20),SUM('12'!$H$17:$O$21),SUM('12'!$H$18:$O$22),SUM('12'!$H$20:$O$23))</f>
        <v>#REF!</v>
      </c>
      <c r="K21" s="92" t="str">
        <f>IF(N21="","",J21/CHOOSE($O$10,SUM('12'!$Q$10:$Q$13),SUM('12'!$Q$11:$Q$15),SUM('12'!$Q$12:$Q$16),SUM('12'!$Q$13:$Q$17),SUM('12'!$Q$15:$Q$18),SUM('12'!$Q$16:$Q$20),SUM('12'!$Q$17:$Q$21),SUM('12'!$Q$18:$Q$22),SUM('12'!$Q$20:$Q$23)))</f>
        <v>#REF!</v>
      </c>
      <c r="L21" s="38" t="str">
        <f>CHOOSE($O$10,SUM('12'!$P$10:$P$13),SUM('12'!$P$11:$P$15),SUM('12'!$P$12:$P$16),SUM('12'!$P$13:$P$17),SUM('12'!$P$15:$P$18),SUM('12'!$P$16:$P$20),SUM('12'!$P$17:$P$21),SUM('12'!$P$18:$P$22),SUM('12'!$P$20:$P$23))</f>
        <v>#REF!</v>
      </c>
      <c r="M21" s="92" t="str">
        <f>IF(N21="","",L21/CHOOSE($O$10,SUM('12'!$Q$10:$Q$13),SUM('12'!$Q$11:$Q$15),SUM('12'!$Q$12:$Q$16),SUM('12'!$Q$13:$Q$17),SUM('12'!$Q$15:$Q$18),SUM('12'!$Q$16:$Q$20),SUM('12'!$Q$17:$Q$21),SUM('12'!$Q$18:$Q$22),SUM('12'!$Q$20:$Q$23)))</f>
        <v>#REF!</v>
      </c>
      <c r="N21" s="25" t="str">
        <f t="shared" si="1"/>
        <v>#REF!</v>
      </c>
      <c r="O21" s="93"/>
      <c r="P21" s="25" t="str">
        <f t="shared" si="2"/>
        <v>#REF!</v>
      </c>
      <c r="Q21" s="94" t="str">
        <f>IF(N21="","",MAX('12'!$R$10:$R$23))</f>
        <v>#REF!</v>
      </c>
      <c r="R21" s="90" t="str">
        <f t="shared" si="3"/>
        <v>#REF!</v>
      </c>
      <c r="S21" s="1"/>
      <c r="T21" s="1"/>
      <c r="U21" s="1"/>
      <c r="V21" s="1"/>
      <c r="W21" s="1"/>
      <c r="X21" s="1"/>
      <c r="Y21" s="1"/>
      <c r="Z21" s="1"/>
    </row>
    <row r="22" ht="18.0" customHeight="1">
      <c r="A22" s="91" t="s">
        <v>70</v>
      </c>
      <c r="B22" s="25"/>
      <c r="C22" s="92"/>
      <c r="D22" s="25"/>
      <c r="E22" s="92"/>
      <c r="F22" s="25"/>
      <c r="G22" s="92"/>
      <c r="H22" s="25"/>
      <c r="I22" s="92"/>
      <c r="J22" s="25"/>
      <c r="K22" s="92"/>
      <c r="L22" s="38"/>
      <c r="M22" s="92"/>
      <c r="N22" s="25"/>
      <c r="O22" s="93"/>
      <c r="P22" s="25" t="str">
        <f t="shared" si="2"/>
        <v/>
      </c>
      <c r="Q22" s="94" t="str">
        <f t="shared" ref="Q22:Q36" si="4">IF(N22="","",MAX(#REF!))</f>
        <v/>
      </c>
      <c r="R22" s="90" t="str">
        <f t="shared" si="3"/>
        <v/>
      </c>
      <c r="S22" s="1"/>
      <c r="T22" s="1"/>
      <c r="U22" s="1"/>
      <c r="V22" s="1"/>
      <c r="W22" s="1"/>
      <c r="X22" s="1"/>
      <c r="Y22" s="1"/>
      <c r="Z22" s="1"/>
    </row>
    <row r="23" ht="18.0" customHeight="1">
      <c r="A23" s="91" t="s">
        <v>71</v>
      </c>
      <c r="B23" s="25"/>
      <c r="C23" s="92"/>
      <c r="D23" s="25"/>
      <c r="E23" s="92"/>
      <c r="F23" s="25"/>
      <c r="G23" s="92"/>
      <c r="H23" s="25"/>
      <c r="I23" s="92"/>
      <c r="J23" s="25"/>
      <c r="K23" s="92"/>
      <c r="L23" s="38"/>
      <c r="M23" s="92"/>
      <c r="N23" s="25"/>
      <c r="O23" s="93"/>
      <c r="P23" s="25" t="str">
        <f t="shared" si="2"/>
        <v/>
      </c>
      <c r="Q23" s="94" t="str">
        <f t="shared" si="4"/>
        <v/>
      </c>
      <c r="R23" s="90" t="str">
        <f t="shared" si="3"/>
        <v/>
      </c>
      <c r="S23" s="1"/>
      <c r="T23" s="1"/>
      <c r="U23" s="1"/>
      <c r="V23" s="1"/>
      <c r="W23" s="1"/>
      <c r="X23" s="1"/>
      <c r="Y23" s="1"/>
      <c r="Z23" s="1"/>
    </row>
    <row r="24" ht="18.0" customHeight="1">
      <c r="A24" s="91" t="s">
        <v>72</v>
      </c>
      <c r="B24" s="25"/>
      <c r="C24" s="92"/>
      <c r="D24" s="25"/>
      <c r="E24" s="92"/>
      <c r="F24" s="25"/>
      <c r="G24" s="92"/>
      <c r="H24" s="25"/>
      <c r="I24" s="92"/>
      <c r="J24" s="25"/>
      <c r="K24" s="92"/>
      <c r="L24" s="38"/>
      <c r="M24" s="92"/>
      <c r="N24" s="25"/>
      <c r="O24" s="93"/>
      <c r="P24" s="25" t="str">
        <f t="shared" si="2"/>
        <v/>
      </c>
      <c r="Q24" s="94" t="str">
        <f t="shared" si="4"/>
        <v/>
      </c>
      <c r="R24" s="90" t="str">
        <f t="shared" si="3"/>
        <v/>
      </c>
      <c r="S24" s="1"/>
      <c r="T24" s="1"/>
      <c r="U24" s="1"/>
      <c r="V24" s="1"/>
      <c r="W24" s="1"/>
      <c r="X24" s="1"/>
      <c r="Y24" s="1"/>
      <c r="Z24" s="1"/>
    </row>
    <row r="25" ht="18.0" customHeight="1">
      <c r="A25" s="91" t="s">
        <v>73</v>
      </c>
      <c r="B25" s="25"/>
      <c r="C25" s="92"/>
      <c r="D25" s="25"/>
      <c r="E25" s="92"/>
      <c r="F25" s="25"/>
      <c r="G25" s="92"/>
      <c r="H25" s="25"/>
      <c r="I25" s="92"/>
      <c r="J25" s="25"/>
      <c r="K25" s="92"/>
      <c r="L25" s="38"/>
      <c r="M25" s="92"/>
      <c r="N25" s="25"/>
      <c r="O25" s="93"/>
      <c r="P25" s="25" t="str">
        <f t="shared" si="2"/>
        <v/>
      </c>
      <c r="Q25" s="94" t="str">
        <f t="shared" si="4"/>
        <v/>
      </c>
      <c r="R25" s="90" t="str">
        <f t="shared" si="3"/>
        <v/>
      </c>
      <c r="S25" s="1"/>
      <c r="T25" s="1"/>
      <c r="U25" s="1"/>
      <c r="V25" s="1"/>
      <c r="W25" s="1"/>
      <c r="X25" s="1"/>
      <c r="Y25" s="1"/>
      <c r="Z25" s="1"/>
    </row>
    <row r="26" ht="18.0" customHeight="1">
      <c r="A26" s="91" t="s">
        <v>74</v>
      </c>
      <c r="B26" s="25"/>
      <c r="C26" s="92"/>
      <c r="D26" s="25"/>
      <c r="E26" s="92"/>
      <c r="F26" s="25"/>
      <c r="G26" s="92"/>
      <c r="H26" s="25"/>
      <c r="I26" s="92"/>
      <c r="J26" s="25"/>
      <c r="K26" s="92"/>
      <c r="L26" s="38"/>
      <c r="M26" s="92"/>
      <c r="N26" s="25" t="str">
        <f t="shared" ref="N26:N36" si="5">IF(B26+D26+F26+H26+J26+L26=0,"",B26+D26+F26+H26+J26+L26)</f>
        <v/>
      </c>
      <c r="O26" s="93"/>
      <c r="P26" s="25" t="str">
        <f t="shared" si="2"/>
        <v/>
      </c>
      <c r="Q26" s="94" t="str">
        <f t="shared" si="4"/>
        <v/>
      </c>
      <c r="R26" s="90" t="str">
        <f t="shared" si="3"/>
        <v/>
      </c>
      <c r="S26" s="1"/>
      <c r="T26" s="1"/>
      <c r="U26" s="1"/>
      <c r="V26" s="1"/>
      <c r="W26" s="1"/>
      <c r="X26" s="1"/>
      <c r="Y26" s="1"/>
      <c r="Z26" s="1"/>
    </row>
    <row r="27" ht="18.0" customHeight="1">
      <c r="A27" s="91" t="s">
        <v>75</v>
      </c>
      <c r="B27" s="25"/>
      <c r="C27" s="92"/>
      <c r="D27" s="25"/>
      <c r="E27" s="92"/>
      <c r="F27" s="25"/>
      <c r="G27" s="92"/>
      <c r="H27" s="25"/>
      <c r="I27" s="92"/>
      <c r="J27" s="25"/>
      <c r="K27" s="92"/>
      <c r="L27" s="38"/>
      <c r="M27" s="92"/>
      <c r="N27" s="25" t="str">
        <f t="shared" si="5"/>
        <v/>
      </c>
      <c r="O27" s="93"/>
      <c r="P27" s="25" t="str">
        <f t="shared" si="2"/>
        <v/>
      </c>
      <c r="Q27" s="94" t="str">
        <f t="shared" si="4"/>
        <v/>
      </c>
      <c r="R27" s="90" t="str">
        <f t="shared" si="3"/>
        <v/>
      </c>
      <c r="S27" s="1"/>
      <c r="T27" s="1"/>
      <c r="U27" s="1"/>
      <c r="V27" s="1"/>
      <c r="W27" s="1"/>
      <c r="X27" s="1"/>
      <c r="Y27" s="1"/>
      <c r="Z27" s="1"/>
    </row>
    <row r="28" ht="18.0" customHeight="1">
      <c r="A28" s="91" t="s">
        <v>76</v>
      </c>
      <c r="B28" s="25"/>
      <c r="C28" s="92"/>
      <c r="D28" s="25"/>
      <c r="E28" s="92"/>
      <c r="F28" s="25"/>
      <c r="G28" s="92"/>
      <c r="H28" s="25"/>
      <c r="I28" s="92"/>
      <c r="J28" s="25"/>
      <c r="K28" s="92"/>
      <c r="L28" s="38"/>
      <c r="M28" s="92"/>
      <c r="N28" s="25" t="str">
        <f t="shared" si="5"/>
        <v/>
      </c>
      <c r="O28" s="93"/>
      <c r="P28" s="25" t="str">
        <f t="shared" si="2"/>
        <v/>
      </c>
      <c r="Q28" s="94" t="str">
        <f t="shared" si="4"/>
        <v/>
      </c>
      <c r="R28" s="90" t="str">
        <f t="shared" si="3"/>
        <v/>
      </c>
      <c r="S28" s="1"/>
      <c r="T28" s="1"/>
      <c r="U28" s="1"/>
      <c r="V28" s="1"/>
      <c r="W28" s="1"/>
      <c r="X28" s="1"/>
      <c r="Y28" s="1"/>
      <c r="Z28" s="1"/>
    </row>
    <row r="29" ht="18.0" customHeight="1">
      <c r="A29" s="91" t="s">
        <v>77</v>
      </c>
      <c r="B29" s="25"/>
      <c r="C29" s="92"/>
      <c r="D29" s="25"/>
      <c r="E29" s="92"/>
      <c r="F29" s="25"/>
      <c r="G29" s="92"/>
      <c r="H29" s="25"/>
      <c r="I29" s="92"/>
      <c r="J29" s="25"/>
      <c r="K29" s="92"/>
      <c r="L29" s="38"/>
      <c r="M29" s="92"/>
      <c r="N29" s="25" t="str">
        <f t="shared" si="5"/>
        <v/>
      </c>
      <c r="O29" s="93"/>
      <c r="P29" s="25" t="str">
        <f t="shared" si="2"/>
        <v/>
      </c>
      <c r="Q29" s="94" t="str">
        <f t="shared" si="4"/>
        <v/>
      </c>
      <c r="R29" s="90" t="str">
        <f t="shared" si="3"/>
        <v/>
      </c>
      <c r="S29" s="1"/>
      <c r="T29" s="1"/>
      <c r="U29" s="1"/>
      <c r="V29" s="1"/>
      <c r="W29" s="1"/>
      <c r="X29" s="1"/>
      <c r="Y29" s="1"/>
      <c r="Z29" s="1"/>
    </row>
    <row r="30" ht="18.0" customHeight="1">
      <c r="A30" s="91" t="s">
        <v>78</v>
      </c>
      <c r="B30" s="25"/>
      <c r="C30" s="92"/>
      <c r="D30" s="25"/>
      <c r="E30" s="92"/>
      <c r="F30" s="25"/>
      <c r="G30" s="92"/>
      <c r="H30" s="25"/>
      <c r="I30" s="92"/>
      <c r="J30" s="25"/>
      <c r="K30" s="92"/>
      <c r="L30" s="38"/>
      <c r="M30" s="92"/>
      <c r="N30" s="25" t="str">
        <f t="shared" si="5"/>
        <v/>
      </c>
      <c r="O30" s="93"/>
      <c r="P30" s="25" t="str">
        <f t="shared" si="2"/>
        <v/>
      </c>
      <c r="Q30" s="94" t="str">
        <f t="shared" si="4"/>
        <v/>
      </c>
      <c r="R30" s="90" t="str">
        <f t="shared" si="3"/>
        <v/>
      </c>
      <c r="S30" s="1"/>
      <c r="T30" s="1"/>
      <c r="U30" s="1"/>
      <c r="V30" s="1"/>
      <c r="W30" s="1"/>
      <c r="X30" s="1"/>
      <c r="Y30" s="1"/>
      <c r="Z30" s="1"/>
    </row>
    <row r="31" ht="18.0" customHeight="1">
      <c r="A31" s="91" t="s">
        <v>79</v>
      </c>
      <c r="B31" s="25"/>
      <c r="C31" s="92"/>
      <c r="D31" s="25"/>
      <c r="E31" s="92"/>
      <c r="F31" s="25"/>
      <c r="G31" s="92"/>
      <c r="H31" s="25"/>
      <c r="I31" s="92"/>
      <c r="J31" s="25"/>
      <c r="K31" s="92"/>
      <c r="L31" s="38"/>
      <c r="M31" s="92"/>
      <c r="N31" s="25" t="str">
        <f t="shared" si="5"/>
        <v/>
      </c>
      <c r="O31" s="93"/>
      <c r="P31" s="25" t="str">
        <f t="shared" si="2"/>
        <v/>
      </c>
      <c r="Q31" s="94" t="str">
        <f t="shared" si="4"/>
        <v/>
      </c>
      <c r="R31" s="90" t="str">
        <f t="shared" si="3"/>
        <v/>
      </c>
      <c r="S31" s="1"/>
      <c r="T31" s="1"/>
      <c r="U31" s="1"/>
      <c r="V31" s="1"/>
      <c r="W31" s="1"/>
      <c r="X31" s="1"/>
      <c r="Y31" s="1"/>
      <c r="Z31" s="1"/>
    </row>
    <row r="32" ht="18.0" customHeight="1">
      <c r="A32" s="91" t="s">
        <v>80</v>
      </c>
      <c r="B32" s="25"/>
      <c r="C32" s="92"/>
      <c r="D32" s="25"/>
      <c r="E32" s="92"/>
      <c r="F32" s="25"/>
      <c r="G32" s="92"/>
      <c r="H32" s="25"/>
      <c r="I32" s="92"/>
      <c r="J32" s="25"/>
      <c r="K32" s="92"/>
      <c r="L32" s="38"/>
      <c r="M32" s="92"/>
      <c r="N32" s="25" t="str">
        <f t="shared" si="5"/>
        <v/>
      </c>
      <c r="O32" s="93"/>
      <c r="P32" s="25" t="str">
        <f t="shared" si="2"/>
        <v/>
      </c>
      <c r="Q32" s="94" t="str">
        <f t="shared" si="4"/>
        <v/>
      </c>
      <c r="R32" s="90" t="str">
        <f t="shared" si="3"/>
        <v/>
      </c>
      <c r="S32" s="1"/>
      <c r="T32" s="1"/>
      <c r="U32" s="1"/>
      <c r="V32" s="1"/>
      <c r="W32" s="1"/>
      <c r="X32" s="1"/>
      <c r="Y32" s="1"/>
      <c r="Z32" s="1"/>
    </row>
    <row r="33" ht="18.0" customHeight="1">
      <c r="A33" s="91" t="s">
        <v>81</v>
      </c>
      <c r="B33" s="25"/>
      <c r="C33" s="92"/>
      <c r="D33" s="25"/>
      <c r="E33" s="92"/>
      <c r="F33" s="25"/>
      <c r="G33" s="92"/>
      <c r="H33" s="25"/>
      <c r="I33" s="92"/>
      <c r="J33" s="25"/>
      <c r="K33" s="92"/>
      <c r="L33" s="38"/>
      <c r="M33" s="92"/>
      <c r="N33" s="25" t="str">
        <f t="shared" si="5"/>
        <v/>
      </c>
      <c r="O33" s="93"/>
      <c r="P33" s="25" t="str">
        <f t="shared" si="2"/>
        <v/>
      </c>
      <c r="Q33" s="94" t="str">
        <f t="shared" si="4"/>
        <v/>
      </c>
      <c r="R33" s="90" t="str">
        <f t="shared" si="3"/>
        <v/>
      </c>
      <c r="S33" s="1"/>
      <c r="T33" s="1"/>
      <c r="U33" s="1"/>
      <c r="V33" s="1"/>
      <c r="W33" s="1"/>
      <c r="X33" s="1"/>
      <c r="Y33" s="1"/>
      <c r="Z33" s="1"/>
    </row>
    <row r="34" ht="18.0" customHeight="1">
      <c r="A34" s="91" t="s">
        <v>82</v>
      </c>
      <c r="B34" s="25"/>
      <c r="C34" s="92"/>
      <c r="D34" s="25"/>
      <c r="E34" s="92"/>
      <c r="F34" s="25"/>
      <c r="G34" s="92"/>
      <c r="H34" s="25"/>
      <c r="I34" s="92"/>
      <c r="J34" s="25"/>
      <c r="K34" s="92"/>
      <c r="L34" s="38"/>
      <c r="M34" s="92"/>
      <c r="N34" s="25" t="str">
        <f t="shared" si="5"/>
        <v/>
      </c>
      <c r="O34" s="93"/>
      <c r="P34" s="25" t="str">
        <f t="shared" si="2"/>
        <v/>
      </c>
      <c r="Q34" s="94" t="str">
        <f t="shared" si="4"/>
        <v/>
      </c>
      <c r="R34" s="90" t="str">
        <f t="shared" si="3"/>
        <v/>
      </c>
      <c r="S34" s="1"/>
      <c r="T34" s="1"/>
      <c r="U34" s="1"/>
      <c r="V34" s="1"/>
      <c r="W34" s="1"/>
      <c r="X34" s="1"/>
      <c r="Y34" s="1"/>
      <c r="Z34" s="1"/>
    </row>
    <row r="35" ht="18.0" customHeight="1">
      <c r="A35" s="91" t="s">
        <v>83</v>
      </c>
      <c r="B35" s="25"/>
      <c r="C35" s="92"/>
      <c r="D35" s="25"/>
      <c r="E35" s="92"/>
      <c r="F35" s="25"/>
      <c r="G35" s="92"/>
      <c r="H35" s="25"/>
      <c r="I35" s="92"/>
      <c r="J35" s="25"/>
      <c r="K35" s="92"/>
      <c r="L35" s="38"/>
      <c r="M35" s="92"/>
      <c r="N35" s="25" t="str">
        <f t="shared" si="5"/>
        <v/>
      </c>
      <c r="O35" s="93"/>
      <c r="P35" s="25" t="str">
        <f t="shared" si="2"/>
        <v/>
      </c>
      <c r="Q35" s="94" t="str">
        <f t="shared" si="4"/>
        <v/>
      </c>
      <c r="R35" s="90" t="str">
        <f t="shared" si="3"/>
        <v/>
      </c>
      <c r="S35" s="1"/>
      <c r="T35" s="1"/>
      <c r="U35" s="1"/>
      <c r="V35" s="1"/>
      <c r="W35" s="1"/>
      <c r="X35" s="1"/>
      <c r="Y35" s="1"/>
      <c r="Z35" s="1"/>
    </row>
    <row r="36" ht="18.0" customHeight="1">
      <c r="A36" s="95" t="s">
        <v>84</v>
      </c>
      <c r="B36" s="25"/>
      <c r="C36" s="92"/>
      <c r="D36" s="25"/>
      <c r="E36" s="92"/>
      <c r="F36" s="25"/>
      <c r="G36" s="92"/>
      <c r="H36" s="25"/>
      <c r="I36" s="92"/>
      <c r="J36" s="25"/>
      <c r="K36" s="92"/>
      <c r="L36" s="25"/>
      <c r="M36" s="92"/>
      <c r="N36" s="25" t="str">
        <f t="shared" si="5"/>
        <v/>
      </c>
      <c r="O36" s="96"/>
      <c r="P36" s="97" t="str">
        <f t="shared" si="2"/>
        <v/>
      </c>
      <c r="Q36" s="98" t="str">
        <f t="shared" si="4"/>
        <v/>
      </c>
      <c r="R36" s="90" t="str">
        <f t="shared" si="3"/>
        <v/>
      </c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41"/>
      <c r="C37" s="1"/>
      <c r="D37" s="1"/>
      <c r="E37" s="1"/>
      <c r="F37" s="1"/>
      <c r="G37" s="4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9" t="s">
        <v>85</v>
      </c>
      <c r="B38" s="100" t="str">
        <f>SUM(B10:B36)</f>
        <v>#REF!</v>
      </c>
      <c r="C38" s="101" t="str">
        <f>B38/$N$38</f>
        <v>#REF!</v>
      </c>
      <c r="D38" s="100" t="str">
        <f>SUM(D10:D36)</f>
        <v>#REF!</v>
      </c>
      <c r="E38" s="101" t="str">
        <f>D38/$N$38</f>
        <v>#REF!</v>
      </c>
      <c r="F38" s="100" t="str">
        <f>SUM(F10:F36)</f>
        <v>#REF!</v>
      </c>
      <c r="G38" s="101" t="str">
        <f>F38/$N$38</f>
        <v>#REF!</v>
      </c>
      <c r="H38" s="100" t="str">
        <f>SUM(H10:H36)</f>
        <v>#REF!</v>
      </c>
      <c r="I38" s="101" t="str">
        <f>H38/$N$38</f>
        <v>#REF!</v>
      </c>
      <c r="J38" s="100" t="str">
        <f>SUM(J10:J36)</f>
        <v>#REF!</v>
      </c>
      <c r="K38" s="101" t="str">
        <f>J38/$N$38</f>
        <v>#REF!</v>
      </c>
      <c r="L38" s="100" t="str">
        <f>SUM(L10:L36)</f>
        <v>#REF!</v>
      </c>
      <c r="M38" s="101" t="str">
        <f>L38/$N$38</f>
        <v>#REF!</v>
      </c>
      <c r="N38" s="100" t="str">
        <f>SUM(N10:N36)</f>
        <v>#REF!</v>
      </c>
      <c r="O38" s="102"/>
      <c r="P38" s="102" t="str">
        <f>N38</f>
        <v>#REF!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7"/>
      <c r="B39" s="41"/>
      <c r="C39" s="103"/>
      <c r="D39" s="41"/>
      <c r="E39" s="103"/>
      <c r="F39" s="41"/>
      <c r="G39" s="103"/>
      <c r="H39" s="41"/>
      <c r="I39" s="103"/>
      <c r="J39" s="41"/>
      <c r="K39" s="103"/>
      <c r="L39" s="103"/>
      <c r="M39" s="103"/>
      <c r="N39" s="4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86</v>
      </c>
      <c r="B40" s="1" t="s">
        <v>53</v>
      </c>
      <c r="C40" s="1" t="s">
        <v>87</v>
      </c>
      <c r="D40" s="1"/>
      <c r="E40" s="1"/>
      <c r="F40" s="1"/>
      <c r="G40" s="1" t="s">
        <v>55</v>
      </c>
      <c r="H40" s="1" t="s">
        <v>88</v>
      </c>
      <c r="I40" s="1"/>
      <c r="J40" s="1"/>
      <c r="K40" s="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 t="s">
        <v>24</v>
      </c>
      <c r="C41" s="1" t="s">
        <v>89</v>
      </c>
      <c r="D41" s="1"/>
      <c r="E41" s="1"/>
      <c r="F41" s="1"/>
      <c r="G41" s="1" t="s">
        <v>56</v>
      </c>
      <c r="H41" s="1" t="s">
        <v>90</v>
      </c>
      <c r="I41" s="1"/>
      <c r="J41" s="1"/>
      <c r="K41" s="1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 t="s">
        <v>25</v>
      </c>
      <c r="C42" s="1" t="s">
        <v>91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 t="s">
        <v>92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04" t="s">
        <v>93</v>
      </c>
      <c r="B46" s="104" t="s">
        <v>53</v>
      </c>
      <c r="C46" s="104" t="s">
        <v>54</v>
      </c>
      <c r="D46" s="104" t="s">
        <v>24</v>
      </c>
      <c r="E46" s="104" t="s">
        <v>54</v>
      </c>
      <c r="F46" s="104" t="s">
        <v>25</v>
      </c>
      <c r="G46" s="104" t="s">
        <v>54</v>
      </c>
      <c r="H46" s="104" t="s">
        <v>55</v>
      </c>
      <c r="I46" s="104" t="s">
        <v>54</v>
      </c>
      <c r="J46" s="104" t="s">
        <v>56</v>
      </c>
      <c r="K46" s="104" t="s">
        <v>54</v>
      </c>
      <c r="L46" s="104" t="s">
        <v>57</v>
      </c>
      <c r="M46" s="104" t="s">
        <v>54</v>
      </c>
      <c r="N46" s="104" t="s">
        <v>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05" t="s">
        <v>94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41" t="s">
        <v>95</v>
      </c>
      <c r="B48" s="41" t="str">
        <f>SUM(B10:B12)</f>
        <v>#REF!</v>
      </c>
      <c r="C48" s="103" t="str">
        <f t="shared" ref="C48:C51" si="6">(B48/$N48)</f>
        <v>#REF!</v>
      </c>
      <c r="D48" s="41" t="str">
        <f>SUM(D10:D12)</f>
        <v>#REF!</v>
      </c>
      <c r="E48" s="103" t="str">
        <f t="shared" ref="E48:E51" si="7">(D48/$N48)</f>
        <v>#REF!</v>
      </c>
      <c r="F48" s="41" t="str">
        <f>SUM(F10:F12)</f>
        <v>#REF!</v>
      </c>
      <c r="G48" s="103" t="str">
        <f t="shared" ref="G48:G51" si="8">(F48/$N48)</f>
        <v>#REF!</v>
      </c>
      <c r="H48" s="41" t="str">
        <f>SUM(H10:H12)</f>
        <v>#REF!</v>
      </c>
      <c r="I48" s="103" t="str">
        <f t="shared" ref="I48:I51" si="9">(H48/$N48)</f>
        <v>#REF!</v>
      </c>
      <c r="J48" s="41" t="str">
        <f>SUM(J10:J12)</f>
        <v>#REF!</v>
      </c>
      <c r="K48" s="103" t="str">
        <f t="shared" ref="K48:K51" si="10">(J48/$N48)</f>
        <v>#REF!</v>
      </c>
      <c r="L48" s="41" t="str">
        <f>SUM(L10:L12)</f>
        <v>#REF!</v>
      </c>
      <c r="M48" s="103" t="str">
        <f t="shared" ref="M48:M51" si="11">(L48/$N48)</f>
        <v>#REF!</v>
      </c>
      <c r="N48" s="41" t="str">
        <f t="shared" ref="N48:N54" si="12">SUM(B48,D48,F48,H48,J48,L48)</f>
        <v>#REF!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06" t="s">
        <v>96</v>
      </c>
      <c r="B49" s="41" t="str">
        <f>SUM(B13:B15)</f>
        <v>#REF!</v>
      </c>
      <c r="C49" s="103" t="str">
        <f t="shared" si="6"/>
        <v>#REF!</v>
      </c>
      <c r="D49" s="41" t="str">
        <f>SUM(D13:D15)</f>
        <v>#REF!</v>
      </c>
      <c r="E49" s="103" t="str">
        <f t="shared" si="7"/>
        <v>#REF!</v>
      </c>
      <c r="F49" s="41" t="str">
        <f>SUM(F13:F15)</f>
        <v>#REF!</v>
      </c>
      <c r="G49" s="103" t="str">
        <f t="shared" si="8"/>
        <v>#REF!</v>
      </c>
      <c r="H49" s="41" t="str">
        <f>SUM(H13:H15)</f>
        <v>#REF!</v>
      </c>
      <c r="I49" s="103" t="str">
        <f t="shared" si="9"/>
        <v>#REF!</v>
      </c>
      <c r="J49" s="41" t="str">
        <f>SUM(J13:J15)</f>
        <v>#REF!</v>
      </c>
      <c r="K49" s="103" t="str">
        <f t="shared" si="10"/>
        <v>#REF!</v>
      </c>
      <c r="L49" s="41" t="str">
        <f>SUM(L13:L15)</f>
        <v>#REF!</v>
      </c>
      <c r="M49" s="103" t="str">
        <f t="shared" si="11"/>
        <v>#REF!</v>
      </c>
      <c r="N49" s="41" t="str">
        <f t="shared" si="12"/>
        <v>#REF!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1" t="s">
        <v>97</v>
      </c>
      <c r="B50" s="41" t="str">
        <f>SUM(B16:B18)</f>
        <v>#REF!</v>
      </c>
      <c r="C50" s="103" t="str">
        <f t="shared" si="6"/>
        <v>#REF!</v>
      </c>
      <c r="D50" s="41" t="str">
        <f>SUM(D16:D18)</f>
        <v>#REF!</v>
      </c>
      <c r="E50" s="103" t="str">
        <f t="shared" si="7"/>
        <v>#REF!</v>
      </c>
      <c r="F50" s="41" t="str">
        <f>SUM(F16:F18)</f>
        <v>#REF!</v>
      </c>
      <c r="G50" s="103" t="str">
        <f t="shared" si="8"/>
        <v>#REF!</v>
      </c>
      <c r="H50" s="41" t="str">
        <f>SUM(H16:H18)</f>
        <v>#REF!</v>
      </c>
      <c r="I50" s="103" t="str">
        <f t="shared" si="9"/>
        <v>#REF!</v>
      </c>
      <c r="J50" s="41" t="str">
        <f>SUM(J16:J18)</f>
        <v>#REF!</v>
      </c>
      <c r="K50" s="103" t="str">
        <f t="shared" si="10"/>
        <v>#REF!</v>
      </c>
      <c r="L50" s="41" t="str">
        <f>SUM(L16:L18)</f>
        <v>#REF!</v>
      </c>
      <c r="M50" s="103" t="str">
        <f t="shared" si="11"/>
        <v>#REF!</v>
      </c>
      <c r="N50" s="41" t="str">
        <f t="shared" si="12"/>
        <v>#REF!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1" t="s">
        <v>98</v>
      </c>
      <c r="B51" s="41" t="str">
        <f>SUM(B19:B21)</f>
        <v>#REF!</v>
      </c>
      <c r="C51" s="103" t="str">
        <f t="shared" si="6"/>
        <v>#REF!</v>
      </c>
      <c r="D51" s="41" t="str">
        <f>SUM(D19:D21)</f>
        <v>#REF!</v>
      </c>
      <c r="E51" s="103" t="str">
        <f t="shared" si="7"/>
        <v>#REF!</v>
      </c>
      <c r="F51" s="41" t="str">
        <f>SUM(F19:F21)</f>
        <v>#REF!</v>
      </c>
      <c r="G51" s="103" t="str">
        <f t="shared" si="8"/>
        <v>#REF!</v>
      </c>
      <c r="H51" s="41" t="str">
        <f>SUM(H19:H21)</f>
        <v>#REF!</v>
      </c>
      <c r="I51" s="103" t="str">
        <f t="shared" si="9"/>
        <v>#REF!</v>
      </c>
      <c r="J51" s="41" t="str">
        <f>SUM(J19:J21)</f>
        <v>#REF!</v>
      </c>
      <c r="K51" s="103" t="str">
        <f t="shared" si="10"/>
        <v>#REF!</v>
      </c>
      <c r="L51" s="41" t="str">
        <f>SUM(L19:L21)</f>
        <v>#REF!</v>
      </c>
      <c r="M51" s="103" t="str">
        <f t="shared" si="11"/>
        <v>#REF!</v>
      </c>
      <c r="N51" s="41" t="str">
        <f t="shared" si="12"/>
        <v>#REF!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06"/>
      <c r="B52" s="41"/>
      <c r="C52" s="103"/>
      <c r="D52" s="41"/>
      <c r="E52" s="103"/>
      <c r="F52" s="41"/>
      <c r="G52" s="103"/>
      <c r="H52" s="41"/>
      <c r="I52" s="103"/>
      <c r="J52" s="41"/>
      <c r="K52" s="103"/>
      <c r="L52" s="41"/>
      <c r="M52" s="103"/>
      <c r="N52" s="41">
        <f t="shared" si="12"/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1"/>
      <c r="B53" s="41"/>
      <c r="C53" s="103"/>
      <c r="D53" s="41"/>
      <c r="E53" s="103"/>
      <c r="F53" s="41"/>
      <c r="G53" s="103"/>
      <c r="H53" s="41"/>
      <c r="I53" s="103"/>
      <c r="J53" s="41"/>
      <c r="K53" s="103"/>
      <c r="L53" s="41"/>
      <c r="M53" s="103"/>
      <c r="N53" s="41">
        <f t="shared" si="12"/>
        <v>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1"/>
      <c r="B54" s="41"/>
      <c r="C54" s="103"/>
      <c r="D54" s="41"/>
      <c r="E54" s="103"/>
      <c r="F54" s="41"/>
      <c r="G54" s="103"/>
      <c r="H54" s="41"/>
      <c r="I54" s="103"/>
      <c r="J54" s="41"/>
      <c r="K54" s="103"/>
      <c r="L54" s="41"/>
      <c r="M54" s="103"/>
      <c r="N54" s="41">
        <f t="shared" si="12"/>
        <v>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41"/>
      <c r="B55" s="41"/>
      <c r="C55" s="103"/>
      <c r="D55" s="41"/>
      <c r="E55" s="103"/>
      <c r="F55" s="41"/>
      <c r="G55" s="103"/>
      <c r="H55" s="41"/>
      <c r="I55" s="103"/>
      <c r="J55" s="41"/>
      <c r="K55" s="103"/>
      <c r="L55" s="41"/>
      <c r="M55" s="103"/>
      <c r="N55" s="4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41"/>
      <c r="B56" s="41"/>
      <c r="C56" s="103"/>
      <c r="D56" s="41"/>
      <c r="E56" s="103"/>
      <c r="F56" s="41"/>
      <c r="G56" s="103"/>
      <c r="H56" s="41"/>
      <c r="I56" s="103"/>
      <c r="J56" s="41"/>
      <c r="K56" s="103"/>
      <c r="L56" s="41"/>
      <c r="M56" s="103"/>
      <c r="N56" s="4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1"/>
      <c r="B57" s="41"/>
      <c r="C57" s="103"/>
      <c r="D57" s="41"/>
      <c r="E57" s="103"/>
      <c r="F57" s="41"/>
      <c r="G57" s="103"/>
      <c r="H57" s="41"/>
      <c r="I57" s="103"/>
      <c r="J57" s="41"/>
      <c r="K57" s="103"/>
      <c r="L57" s="41"/>
      <c r="M57" s="103"/>
      <c r="N57" s="4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07" t="s">
        <v>99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8" t="str">
        <f>SUM(N48:N57)</f>
        <v>#REF!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1" t="s">
        <v>100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 t="str">
        <f t="shared" ref="N59:N62" si="13">SUM(N10,N14,N18)</f>
        <v>#REF!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1" t="s">
        <v>101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 t="str">
        <f t="shared" si="13"/>
        <v>#REF!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1" t="s">
        <v>102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 t="str">
        <f t="shared" si="13"/>
        <v>#REF!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1" t="s">
        <v>103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 t="str">
        <f t="shared" si="13"/>
        <v>#REF!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06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06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104" t="str">
        <f>SUM(N59:N66)</f>
        <v>#REF!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P8:P9"/>
    <mergeCell ref="Q8:Q9"/>
    <mergeCell ref="R8:R9"/>
    <mergeCell ref="E4:F4"/>
    <mergeCell ref="H4:I4"/>
    <mergeCell ref="E5:F5"/>
    <mergeCell ref="H5:I5"/>
    <mergeCell ref="E6:F6"/>
    <mergeCell ref="B8:M8"/>
    <mergeCell ref="N8:N9"/>
  </mergeCells>
  <printOptions horizontalCentered="1"/>
  <pageMargins bottom="0.46" footer="0.0" header="0.0" left="0.1968503937007874" right="0.1968503937007874" top="0.99"/>
  <pageSetup scale="53" orientation="portrait"/>
  <headerFooter>
    <oddHeader>&amp;CVOLUMENES DIRECCIONALES HORA DE MAXIMA DEMANDA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1998-05-14T16:51:23Z</dcterms:created>
  <dc:creator>PRUEBA</dc:creator>
</cp:coreProperties>
</file>